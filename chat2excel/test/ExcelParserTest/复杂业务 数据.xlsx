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订单明细" sheetId="1" r:id="rId1"/>
    <sheet name="商品目录" sheetId="2" r:id="rId5"/>
    <sheet name="客户档案" sheetId="3" r:id="rId6"/>
    <sheet name="月度汇总" sheetId="4" r:id="rId7"/>
    <sheet name="说明与异常" sheetId="5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<sst xmlns="http://schemas.openxmlformats.org/spreadsheetml/2006/main">
  <si>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</si>
  <si>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2026年10月销售订单明细（自动生成）</t>
  </si>
  <si>
    <t>统计期间</t>
  </si>
  <si>
    <t>2026-10</t>
  </si>
  <si>
    <t>订单编号</t>
  </si>
  <si>
    <t>订单日期</t>
  </si>
  <si>
    <t>客户编号</t>
  </si>
  <si>
    <t>客户名称</t>
  </si>
  <si>
    <t>城市</t>
  </si>
  <si>
    <t>商品编号</t>
  </si>
  <si>
    <t>商品名称</t>
  </si>
  <si>
    <t>分类</t>
  </si>
  <si>
    <t>数量</t>
  </si>
  <si>
    <t>单价</t>
  </si>
  <si>
    <t>原价金额</t>
  </si>
  <si>
    <t>折扣率</t>
  </si>
  <si>
    <t>优惠金额</t>
  </si>
  <si>
    <t>运费</t>
  </si>
  <si>
    <t>应付金额</t>
  </si>
  <si>
    <t>币种</t>
  </si>
  <si>
    <t>已付款</t>
  </si>
  <si>
    <t>订单状态</t>
  </si>
  <si>
    <t>销售员</t>
  </si>
  <si>
    <t>渠道</t>
  </si>
  <si>
    <t>省份</t>
  </si>
  <si>
    <t>收件人</t>
  </si>
  <si>
    <t>电话</t>
  </si>
  <si>
    <t>备注</t>
  </si>
  <si>
    <t>外部流水号</t>
  </si>
  <si>
    <t>退货数量</t>
  </si>
  <si>
    <t>发票抬头</t>
  </si>
  <si>
    <t>发票已开</t>
  </si>
  <si>
    <t>预留空列</t>
  </si>
  <si>
    <t>税率</t>
  </si>
  <si>
    <t>预计发货日期</t>
  </si>
  <si>
    <t>校验备注</t>
  </si>
  <si>
    <t>ORD-202610-100001</t>
  </si>
  <si>
    <t>C001</t>
  </si>
  <si>
    <t>张三</t>
  </si>
  <si>
    <t>上海</t>
  </si>
  <si>
    <t>P001</t>
  </si>
  <si>
    <t>机械键盘</t>
  </si>
  <si>
    <t>外设</t>
  </si>
  <si>
    <t>CNY</t>
  </si>
  <si>
    <t>待付款</t>
  </si>
  <si>
    <t>李四</t>
  </si>
  <si>
    <t>网页</t>
  </si>
  <si>
    <t>0138000100001</t>
  </si>
  <si>
    <t>ORD-202610-100002</t>
  </si>
  <si>
    <t>C002</t>
  </si>
  <si>
    <t>Acme, Inc.</t>
  </si>
  <si>
    <t>北京</t>
  </si>
  <si>
    <t>P002</t>
  </si>
  <si>
    <t>显示器</t>
  </si>
  <si>
    <t>显示设备</t>
  </si>
  <si>
    <t>已完成</t>
  </si>
  <si>
    <t>王五</t>
  </si>
  <si>
    <t>门店</t>
  </si>
  <si>
    <t>0138000100002</t>
  </si>
  <si>
    <t>加急,周五前送达</t>
  </si>
  <si>
    <t>正常</t>
  </si>
  <si>
    <t>ORD-202610-100003</t>
  </si>
  <si>
    <t>C003</t>
  </si>
  <si>
    <t>研发"中心"</t>
  </si>
  <si>
    <t>深圳</t>
  </si>
  <si>
    <t>P003</t>
  </si>
  <si>
    <t>办公椅</t>
  </si>
  <si>
    <t>家具</t>
  </si>
  <si>
    <t>赵六</t>
  </si>
  <si>
    <t>API</t>
  </si>
  <si>
    <t>广东</t>
  </si>
  <si>
    <t>0138000100003</t>
  </si>
  <si>
    <t>收货前联系"前台"</t>
  </si>
  <si>
    <t>ORD-202610-100004</t>
  </si>
  <si>
    <t>杭州</t>
  </si>
  <si>
    <t>P004</t>
  </si>
  <si>
    <t>多功能"支架"</t>
  </si>
  <si>
    <t>配件</t>
  </si>
  <si>
    <t>浙江</t>
  </si>
  <si>
    <t>0138000100004</t>
  </si>
  <si>
    <t>第一行
第二行</t>
  </si>
  <si>
    <t>ORD-202610-100005</t>
  </si>
  <si>
    <t>0138000100005</t>
  </si>
  <si>
    <t>ORD-202610-100006</t>
  </si>
  <si>
    <t>0138000100006</t>
  </si>
  <si>
    <t>ORD-202610-100007</t>
  </si>
  <si>
    <t>0138000100007</t>
  </si>
  <si>
    <t>ORD-202610-100008</t>
  </si>
  <si>
    <t>0138000100008</t>
  </si>
  <si>
    <t>ORD-202610-100009</t>
  </si>
  <si>
    <t>0138000100009</t>
  </si>
  <si>
    <t>ORD-202610-100010</t>
  </si>
  <si>
    <t>0138000100010</t>
  </si>
  <si>
    <t>ORD-202610-100011</t>
  </si>
  <si>
    <t>0138000100011</t>
  </si>
  <si>
    <t>ORD-202610-100012</t>
  </si>
  <si>
    <t>0138000100012</t>
  </si>
  <si>
    <t>ORD-202610-100013</t>
  </si>
  <si>
    <t>0138000100013</t>
  </si>
  <si>
    <t>ORD-202610-100014</t>
  </si>
  <si>
    <t>0138000100014</t>
  </si>
  <si>
    <t>ORD-202610-100015</t>
  </si>
  <si>
    <t>0138000100015</t>
  </si>
  <si>
    <t>ORD-202610-100016</t>
  </si>
  <si>
    <t>0138000100016</t>
  </si>
  <si>
    <t>ORD-202610-100017</t>
  </si>
  <si>
    <t>0138000100017</t>
  </si>
  <si>
    <t>ORD-202610-100018</t>
  </si>
  <si>
    <t>0138000100018</t>
  </si>
  <si>
    <t>ORD-202610-100019</t>
  </si>
  <si>
    <t>0138000100019</t>
  </si>
  <si>
    <t>ORD-202610-100020</t>
  </si>
  <si>
    <t>0138000100020</t>
  </si>
  <si>
    <t>ORD-202610-100021</t>
  </si>
  <si>
    <t>0138000100021</t>
  </si>
  <si>
    <t>ORD-202610-100022</t>
  </si>
  <si>
    <t>0138000100022</t>
  </si>
  <si>
    <t>ORD-202610-100023</t>
  </si>
  <si>
    <t>0138000100023</t>
  </si>
  <si>
    <t>ORD-202610-100024</t>
  </si>
  <si>
    <t>0138000100024</t>
  </si>
  <si>
    <t>ORD-202610-100025</t>
  </si>
  <si>
    <t>0138000100025</t>
  </si>
  <si>
    <t>ORD-202610-100026</t>
  </si>
  <si>
    <t>0138000100026</t>
  </si>
  <si>
    <t>ORD-202610-100027</t>
  </si>
  <si>
    <t>0138000100027</t>
  </si>
  <si>
    <t>ORD-202610-100028</t>
  </si>
  <si>
    <t>0138000100028</t>
  </si>
  <si>
    <t>ORD-202610-100029</t>
  </si>
  <si>
    <t>0138000100029</t>
  </si>
  <si>
    <t>ORD-202610-100030</t>
  </si>
  <si>
    <t>0138000100030</t>
  </si>
  <si>
    <t>ORD-202610-100031</t>
  </si>
  <si>
    <t>0138000100031</t>
  </si>
  <si>
    <t>ORD-202610-100032</t>
  </si>
  <si>
    <t>0138000100032</t>
  </si>
  <si>
    <t>ORD-202610-100033</t>
  </si>
  <si>
    <t>0138000100033</t>
  </si>
  <si>
    <t>ORD-202610-100034</t>
  </si>
  <si>
    <t>0138000100034</t>
  </si>
  <si>
    <t>ORD-202610-100035</t>
  </si>
  <si>
    <t>0138000100035</t>
  </si>
  <si>
    <t>ORD-202610-100036</t>
  </si>
  <si>
    <t>0138000100036</t>
  </si>
  <si>
    <t>ORD-202610-100037</t>
  </si>
  <si>
    <t>0138000100037</t>
  </si>
  <si>
    <t>ORD-202610-100038</t>
  </si>
  <si>
    <t>0138000100038</t>
  </si>
  <si>
    <t>ORD-202610-100039</t>
  </si>
  <si>
    <t>0138000100039</t>
  </si>
  <si>
    <t>ORD-202610-100040</t>
  </si>
  <si>
    <t>0138000100040</t>
  </si>
  <si>
    <t>ORD-202610-100041</t>
  </si>
  <si>
    <t>0138000100041</t>
  </si>
  <si>
    <t>ORD-202610-100042</t>
  </si>
  <si>
    <t>0138000100042</t>
  </si>
  <si>
    <t>ORD-202610-100043</t>
  </si>
  <si>
    <t>0138000100043</t>
  </si>
  <si>
    <t>ORD-202610-100044</t>
  </si>
  <si>
    <t>0138000100044</t>
  </si>
  <si>
    <t>ORD-202610-100045</t>
  </si>
  <si>
    <t>0138000100045</t>
  </si>
  <si>
    <t>ORD-202610-100046</t>
  </si>
  <si>
    <t>0138000100046</t>
  </si>
  <si>
    <t>ORD-202610-100047</t>
  </si>
  <si>
    <t>0138000100047</t>
  </si>
  <si>
    <t>ORD-202610-100048</t>
  </si>
  <si>
    <t>0138000100048</t>
  </si>
  <si>
    <t>ORD-202610-100049</t>
  </si>
  <si>
    <t>0138000100049</t>
  </si>
  <si>
    <t>ORD-202610-100050</t>
  </si>
  <si>
    <t>0138000100050</t>
  </si>
  <si>
    <t>ORD-202610-100051</t>
  </si>
  <si>
    <t>0138000100051</t>
  </si>
  <si>
    <t>ORD-202610-100052</t>
  </si>
  <si>
    <t>0138000100052</t>
  </si>
  <si>
    <t>ORD-202610-100053</t>
  </si>
  <si>
    <t>0138000100053</t>
  </si>
  <si>
    <t>ORD-202610-100054</t>
  </si>
  <si>
    <t>0138000100054</t>
  </si>
  <si>
    <t>ORD-202610-100055</t>
  </si>
  <si>
    <t>0138000100055</t>
  </si>
  <si>
    <t>ORD-202610-100056</t>
  </si>
  <si>
    <t>0138000100056</t>
  </si>
  <si>
    <t>ORD-202610-100057</t>
  </si>
  <si>
    <t>0138000100057</t>
  </si>
  <si>
    <t>ORD-202610-100058</t>
  </si>
  <si>
    <t>0138000100058</t>
  </si>
  <si>
    <t>ORD-202610-100059</t>
  </si>
  <si>
    <t>0138000100059</t>
  </si>
  <si>
    <t>ORD-202610-100060</t>
  </si>
  <si>
    <t>0138000100060</t>
  </si>
  <si>
    <t>ORD-202610-100061</t>
  </si>
  <si>
    <t>0138000100061</t>
  </si>
  <si>
    <t>ORD-202610-100062</t>
  </si>
  <si>
    <t>0138000100062</t>
  </si>
  <si>
    <t>ORD-202610-100063</t>
  </si>
  <si>
    <t>0138000100063</t>
  </si>
  <si>
    <t>ORD-202610-100064</t>
  </si>
  <si>
    <t>0138000100064</t>
  </si>
  <si>
    <t>ORD-202610-100065</t>
  </si>
  <si>
    <t>0138000100065</t>
  </si>
  <si>
    <t>ORD-202610-100066</t>
  </si>
  <si>
    <t>0138000100066</t>
  </si>
  <si>
    <t>ORD-202610-100067</t>
  </si>
  <si>
    <t>0138000100067</t>
  </si>
  <si>
    <t>ORD-202610-100068</t>
  </si>
  <si>
    <t>0138000100068</t>
  </si>
  <si>
    <t>ORD-202610-100069</t>
  </si>
  <si>
    <t>0138000100069</t>
  </si>
  <si>
    <t>ORD-202610-100070</t>
  </si>
  <si>
    <t>0138000100070</t>
  </si>
  <si>
    <t>ORD-202610-100071</t>
  </si>
  <si>
    <t>0138000100071</t>
  </si>
  <si>
    <t>ORD-202610-100072</t>
  </si>
  <si>
    <t>0138000100072</t>
  </si>
  <si>
    <t>ORD-202610-100073</t>
  </si>
  <si>
    <t>0138000100073</t>
  </si>
  <si>
    <t>ORD-202610-100074</t>
  </si>
  <si>
    <t>0138000100074</t>
  </si>
  <si>
    <t>ORD-202610-100075</t>
  </si>
  <si>
    <t>0138000100075</t>
  </si>
  <si>
    <t>ORD-202610-100076</t>
  </si>
  <si>
    <t>0138000100076</t>
  </si>
  <si>
    <t>ORD-202610-100077</t>
  </si>
  <si>
    <t>0138000100077</t>
  </si>
  <si>
    <t>ORD-202610-100078</t>
  </si>
  <si>
    <t>0138000100078</t>
  </si>
  <si>
    <t>ORD-202610-100079</t>
  </si>
  <si>
    <t>0138000100079</t>
  </si>
  <si>
    <t>ORD-202610-100080</t>
  </si>
  <si>
    <t>0138000100080</t>
  </si>
  <si>
    <t>ORD-202610-100081</t>
  </si>
  <si>
    <t>0138000100081</t>
  </si>
  <si>
    <t>ORD-202610-100082</t>
  </si>
  <si>
    <t>0138000100082</t>
  </si>
  <si>
    <t>ORD-202610-100083</t>
  </si>
  <si>
    <t>0138000100083</t>
  </si>
  <si>
    <t>ORD-202610-100084</t>
  </si>
  <si>
    <t>0138000100084</t>
  </si>
  <si>
    <t>ORD-202610-100085</t>
  </si>
  <si>
    <t>0138000100085</t>
  </si>
  <si>
    <t>ORD-202610-100086</t>
  </si>
  <si>
    <t>0138000100086</t>
  </si>
  <si>
    <t>ORD-202610-100087</t>
  </si>
  <si>
    <t>0138000100087</t>
  </si>
  <si>
    <t>ORD-202610-100088</t>
  </si>
  <si>
    <t>0138000100088</t>
  </si>
  <si>
    <t>ORD-202610-100089</t>
  </si>
  <si>
    <t>0138000100089</t>
  </si>
  <si>
    <t>ORD-202610-100090</t>
  </si>
  <si>
    <t>0138000100090</t>
  </si>
  <si>
    <t>ORD-202610-100091</t>
  </si>
  <si>
    <t>0138000100091</t>
  </si>
  <si>
    <t>ORD-202610-100092</t>
  </si>
  <si>
    <t>0138000100092</t>
  </si>
  <si>
    <t>ORD-202610-100093</t>
  </si>
  <si>
    <t>0138000100093</t>
  </si>
  <si>
    <t>ORD-202610-100094</t>
  </si>
  <si>
    <t>0138000100094</t>
  </si>
  <si>
    <t>ORD-202610-100095</t>
  </si>
  <si>
    <t>0138000100095</t>
  </si>
  <si>
    <t>ORD-202610-100096</t>
  </si>
  <si>
    <t>0138000100096</t>
  </si>
  <si>
    <t>ORD-202610-100097</t>
  </si>
  <si>
    <t>0138000100097</t>
  </si>
  <si>
    <t>ORD-202610-100098</t>
  </si>
  <si>
    <t>0138000100098</t>
  </si>
  <si>
    <t>ORD-202610-100099</t>
  </si>
  <si>
    <t>0138000100099</t>
  </si>
  <si>
    <t>ORD-202610-100100</t>
  </si>
  <si>
    <t>0138000100100</t>
  </si>
  <si>
    <t>ORD-202610-100101</t>
  </si>
  <si>
    <t>0138000100101</t>
  </si>
  <si>
    <t>ORD-202610-100102</t>
  </si>
  <si>
    <t>0138000100102</t>
  </si>
  <si>
    <t>ORD-202610-100103</t>
  </si>
  <si>
    <t>0138000100103</t>
  </si>
  <si>
    <t>ORD-202610-100104</t>
  </si>
  <si>
    <t>0138000100104</t>
  </si>
  <si>
    <t>ORD-202610-100105</t>
  </si>
  <si>
    <t>0138000100105</t>
  </si>
  <si>
    <t>ORD-202610-100106</t>
  </si>
  <si>
    <t>0138000100106</t>
  </si>
  <si>
    <t>ORD-202610-100107</t>
  </si>
  <si>
    <t>0138000100107</t>
  </si>
  <si>
    <t>ORD-202610-100108</t>
  </si>
  <si>
    <t>0138000100108</t>
  </si>
  <si>
    <t>ORD-202610-100109</t>
  </si>
  <si>
    <t>0138000100109</t>
  </si>
  <si>
    <t>ORD-202610-100110</t>
  </si>
  <si>
    <t>0138000100110</t>
  </si>
  <si>
    <t>ORD-202610-100111</t>
  </si>
  <si>
    <t>0138000100111</t>
  </si>
  <si>
    <t>ORD-202610-100112</t>
  </si>
  <si>
    <t>0138000100112</t>
  </si>
  <si>
    <t>ORD-202610-100113</t>
  </si>
  <si>
    <t>0138000100113</t>
  </si>
  <si>
    <t>ORD-202610-100114</t>
  </si>
  <si>
    <t>0138000100114</t>
  </si>
  <si>
    <t>ORD-202610-100115</t>
  </si>
  <si>
    <t>0138000100115</t>
  </si>
  <si>
    <t>ORD-202610-100116</t>
  </si>
  <si>
    <t>0138000100116</t>
  </si>
  <si>
    <t>ORD-202610-100117</t>
  </si>
  <si>
    <t>0138000100117</t>
  </si>
  <si>
    <t>ORD-202610-100118</t>
  </si>
  <si>
    <t>0138000100118</t>
  </si>
  <si>
    <t>ORD-202610-100119</t>
  </si>
  <si>
    <t>0138000100119</t>
  </si>
  <si>
    <t>ORD-202610-100120</t>
  </si>
  <si>
    <t>0138000100120</t>
  </si>
  <si>
    <t>ORD-202610-100121</t>
  </si>
  <si>
    <t>0138000100121</t>
  </si>
  <si>
    <t>ORD-202610-100122</t>
  </si>
  <si>
    <t>0138000100122</t>
  </si>
  <si>
    <t>ORD-202610-100123</t>
  </si>
  <si>
    <t>0138000100123</t>
  </si>
  <si>
    <t>ORD-202610-100124</t>
  </si>
  <si>
    <t>0138000100124</t>
  </si>
  <si>
    <t>ORD-202610-100125</t>
  </si>
  <si>
    <t>0138000100125</t>
  </si>
  <si>
    <t>ORD-202610-100126</t>
  </si>
  <si>
    <t>0138000100126</t>
  </si>
  <si>
    <t>ORD-202610-100127</t>
  </si>
  <si>
    <t>0138000100127</t>
  </si>
  <si>
    <t>ORD-202610-100128</t>
  </si>
  <si>
    <t>0138000100128</t>
  </si>
  <si>
    <t>ORD-202610-100129</t>
  </si>
  <si>
    <t>0138000100129</t>
  </si>
  <si>
    <t>ORD-202610-100130</t>
  </si>
  <si>
    <t>0138000100130</t>
  </si>
  <si>
    <t>ORD-202610-100131</t>
  </si>
  <si>
    <t>0138000100131</t>
  </si>
  <si>
    <t>ORD-202610-100132</t>
  </si>
  <si>
    <t>0138000100132</t>
  </si>
  <si>
    <t>ORD-202610-100133</t>
  </si>
  <si>
    <t>0138000100133</t>
  </si>
  <si>
    <t>ORD-202610-100134</t>
  </si>
  <si>
    <t>0138000100134</t>
  </si>
  <si>
    <t>ORD-202610-100135</t>
  </si>
  <si>
    <t>0138000100135</t>
  </si>
  <si>
    <t>ORD-202610-100136</t>
  </si>
  <si>
    <t>0138000100136</t>
  </si>
  <si>
    <t>ORD-202610-100137</t>
  </si>
  <si>
    <t>0138000100137</t>
  </si>
  <si>
    <t>ORD-202610-100138</t>
  </si>
  <si>
    <t>0138000100138</t>
  </si>
  <si>
    <t>ORD-202610-100139</t>
  </si>
  <si>
    <t>0138000100139</t>
  </si>
  <si>
    <t>ORD-202610-100140</t>
  </si>
  <si>
    <t>0138000100140</t>
  </si>
  <si>
    <t>ORD-202610-100141</t>
  </si>
  <si>
    <t>0138000100141</t>
  </si>
  <si>
    <t>ORD-202610-100142</t>
  </si>
  <si>
    <t>0138000100142</t>
  </si>
  <si>
    <t>ORD-202610-100143</t>
  </si>
  <si>
    <t>0138000100143</t>
  </si>
  <si>
    <t>ORD-202610-100144</t>
  </si>
  <si>
    <t>0138000100144</t>
  </si>
  <si>
    <t>ORD-202610-100145</t>
  </si>
  <si>
    <t>0138000100145</t>
  </si>
  <si>
    <t>ORD-202610-100146</t>
  </si>
  <si>
    <t>0138000100146</t>
  </si>
  <si>
    <t>ORD-202610-100147</t>
  </si>
  <si>
    <t>0138000100147</t>
  </si>
  <si>
    <t>ORD-202610-100148</t>
  </si>
  <si>
    <t>0138000100148</t>
  </si>
  <si>
    <t>ORD-202610-100149</t>
  </si>
  <si>
    <t>0138000100149</t>
  </si>
  <si>
    <t>ORD-202610-100150</t>
  </si>
  <si>
    <t>0138000100150</t>
  </si>
  <si>
    <t>ORD-202610-100151</t>
  </si>
  <si>
    <t>0138000100151</t>
  </si>
  <si>
    <t>ORD-202610-100152</t>
  </si>
  <si>
    <t>0138000100152</t>
  </si>
  <si>
    <t>ORD-202610-100153</t>
  </si>
  <si>
    <t>0138000100153</t>
  </si>
  <si>
    <t>ORD-202610-100154</t>
  </si>
  <si>
    <t>0138000100154</t>
  </si>
  <si>
    <t>ORD-202610-100155</t>
  </si>
  <si>
    <t>0138000100155</t>
  </si>
  <si>
    <t>ORD-202610-100156</t>
  </si>
  <si>
    <t>0138000100156</t>
  </si>
  <si>
    <t>ORD-202610-100157</t>
  </si>
  <si>
    <t>0138000100157</t>
  </si>
  <si>
    <t>ORD-202610-100158</t>
  </si>
  <si>
    <t>0138000100158</t>
  </si>
  <si>
    <t>ORD-202610-100159</t>
  </si>
  <si>
    <t>0138000100159</t>
  </si>
  <si>
    <t>ORD-202610-100160</t>
  </si>
  <si>
    <t>0138000100160</t>
  </si>
  <si>
    <t>ORD-202610-100161</t>
  </si>
  <si>
    <t>0138000100161</t>
  </si>
  <si>
    <t>ORD-202610-100162</t>
  </si>
  <si>
    <t>0138000100162</t>
  </si>
  <si>
    <t>ORD-202610-100163</t>
  </si>
  <si>
    <t>0138000100163</t>
  </si>
  <si>
    <t>ORD-202610-100164</t>
  </si>
  <si>
    <t>0138000100164</t>
  </si>
  <si>
    <t>ORD-202610-100165</t>
  </si>
  <si>
    <t>0138000100165</t>
  </si>
  <si>
    <t>ORD-202610-100166</t>
  </si>
  <si>
    <t>0138000100166</t>
  </si>
  <si>
    <t>ORD-202610-100167</t>
  </si>
  <si>
    <t>0138000100167</t>
  </si>
  <si>
    <t>ORD-202610-100168</t>
  </si>
  <si>
    <t>0138000100168</t>
  </si>
  <si>
    <t>ORD-202610-100169</t>
  </si>
  <si>
    <t>0138000100169</t>
  </si>
  <si>
    <t>ORD-202610-100170</t>
  </si>
  <si>
    <t>0138000100170</t>
  </si>
  <si>
    <t>ORD-202610-100171</t>
  </si>
  <si>
    <t>0138000100171</t>
  </si>
  <si>
    <t>ORD-202610-100172</t>
  </si>
  <si>
    <t>0138000100172</t>
  </si>
  <si>
    <t>ORD-202610-100173</t>
  </si>
  <si>
    <t>0138000100173</t>
  </si>
  <si>
    <t>ORD-202610-100174</t>
  </si>
  <si>
    <t>0138000100174</t>
  </si>
  <si>
    <t>ORD-202610-100175</t>
  </si>
  <si>
    <t>0138000100175</t>
  </si>
  <si>
    <t>ORD-202610-100176</t>
  </si>
  <si>
    <t>0138000100176</t>
  </si>
  <si>
    <t>ORD-202610-100177</t>
  </si>
  <si>
    <t>0138000100177</t>
  </si>
  <si>
    <t>ORD-202610-100178</t>
  </si>
  <si>
    <t>0138000100178</t>
  </si>
  <si>
    <t>ORD-202610-100179</t>
  </si>
  <si>
    <t>0138000100179</t>
  </si>
  <si>
    <t>ORD-202610-100180</t>
  </si>
  <si>
    <t>0138000100180</t>
  </si>
  <si>
    <t>ORD-202610-100181</t>
  </si>
  <si>
    <t>0138000100181</t>
  </si>
  <si>
    <t>ORD-202610-100182</t>
  </si>
  <si>
    <t>0138000100182</t>
  </si>
  <si>
    <t>ORD-202610-100183</t>
  </si>
  <si>
    <t>0138000100183</t>
  </si>
  <si>
    <t>ORD-202610-100184</t>
  </si>
  <si>
    <t>0138000100184</t>
  </si>
  <si>
    <t>ORD-202610-100185</t>
  </si>
  <si>
    <t>0138000100185</t>
  </si>
  <si>
    <t>ORD-202610-100186</t>
  </si>
  <si>
    <t>0138000100186</t>
  </si>
  <si>
    <t>ORD-202610-100187</t>
  </si>
  <si>
    <t>0138000100187</t>
  </si>
  <si>
    <t>ORD-202610-100188</t>
  </si>
  <si>
    <t>0138000100188</t>
  </si>
  <si>
    <t>ORD-202610-100189</t>
  </si>
  <si>
    <t>0138000100189</t>
  </si>
  <si>
    <t>ORD-202610-100190</t>
  </si>
  <si>
    <t>0138000100190</t>
  </si>
  <si>
    <t>ORD-202610-100191</t>
  </si>
  <si>
    <t>0138000100191</t>
  </si>
  <si>
    <t>ORD-202610-100192</t>
  </si>
  <si>
    <t>0138000100192</t>
  </si>
  <si>
    <t>ORD-202610-100193</t>
  </si>
  <si>
    <t>0138000100193</t>
  </si>
  <si>
    <t>ORD-202610-100194</t>
  </si>
  <si>
    <t>0138000100194</t>
  </si>
  <si>
    <t>ORD-202610-100195</t>
  </si>
  <si>
    <t>0138000100195</t>
  </si>
  <si>
    <t>ORD-202610-100196</t>
  </si>
  <si>
    <t>0138000100196</t>
  </si>
  <si>
    <t>ORD-202610-100197</t>
  </si>
  <si>
    <t>0138000100197</t>
  </si>
  <si>
    <t>ORD-202610-100198</t>
  </si>
  <si>
    <t>0138000100198</t>
  </si>
  <si>
    <t>ORD-202610-100199</t>
  </si>
  <si>
    <t>0138000100199</t>
  </si>
  <si>
    <t>ORD-202610-100200</t>
  </si>
  <si>
    <t>0138000100200</t>
  </si>
  <si>
    <t>ORD-202610-100201</t>
  </si>
  <si>
    <t>0138000100201</t>
  </si>
  <si>
    <t>ORD-202610-100202</t>
  </si>
  <si>
    <t>0138000100202</t>
  </si>
  <si>
    <t>ORD-202610-100203</t>
  </si>
  <si>
    <t>0138000100203</t>
  </si>
  <si>
    <t>ORD-202610-100204</t>
  </si>
  <si>
    <t>0138000100204</t>
  </si>
  <si>
    <t>ORD-202610-100205</t>
  </si>
  <si>
    <t>0138000100205</t>
  </si>
  <si>
    <t>ORD-202610-100206</t>
  </si>
  <si>
    <t>0138000100206</t>
  </si>
  <si>
    <t>ORD-202610-100207</t>
  </si>
  <si>
    <t>0138000100207</t>
  </si>
  <si>
    <t>ORD-202610-100208</t>
  </si>
  <si>
    <t>0138000100208</t>
  </si>
  <si>
    <t>ORD-202610-100209</t>
  </si>
  <si>
    <t>0138000100209</t>
  </si>
  <si>
    <t>ORD-202610-100210</t>
  </si>
  <si>
    <t>0138000100210</t>
  </si>
  <si>
    <t>ORD-202610-100211</t>
  </si>
  <si>
    <t>0138000100211</t>
  </si>
  <si>
    <t>ORD-202610-100212</t>
  </si>
  <si>
    <t>0138000100212</t>
  </si>
  <si>
    <t>ORD-202610-100213</t>
  </si>
  <si>
    <t>0138000100213</t>
  </si>
  <si>
    <t>ORD-202610-100214</t>
  </si>
  <si>
    <t>0138000100214</t>
  </si>
  <si>
    <t>ORD-202610-100215</t>
  </si>
  <si>
    <t>0138000100215</t>
  </si>
  <si>
    <t>ORD-202610-100216</t>
  </si>
  <si>
    <t>0138000100216</t>
  </si>
  <si>
    <t>ORD-202610-100217</t>
  </si>
  <si>
    <t>0138000100217</t>
  </si>
  <si>
    <t>ORD-202610-100218</t>
  </si>
  <si>
    <t>0138000100218</t>
  </si>
  <si>
    <t>ORD-202610-100219</t>
  </si>
  <si>
    <t>0138000100219</t>
  </si>
  <si>
    <t>ORD-202610-100220</t>
  </si>
  <si>
    <t>0138000100220</t>
  </si>
  <si>
    <t>ORD-202610-100221</t>
  </si>
  <si>
    <t>0138000100221</t>
  </si>
  <si>
    <t>ORD-202610-100222</t>
  </si>
  <si>
    <t>0138000100222</t>
  </si>
  <si>
    <t>ORD-202610-100223</t>
  </si>
  <si>
    <t>0138000100223</t>
  </si>
  <si>
    <t>ORD-202610-100224</t>
  </si>
  <si>
    <t>0138000100224</t>
  </si>
  <si>
    <t>ORD-202610-100225</t>
  </si>
  <si>
    <t>0138000100225</t>
  </si>
  <si>
    <t>ORD-202610-100226</t>
  </si>
  <si>
    <t>0138000100226</t>
  </si>
  <si>
    <t>ORD-202610-100227</t>
  </si>
  <si>
    <t>0138000100227</t>
  </si>
  <si>
    <t>ORD-202610-100228</t>
  </si>
  <si>
    <t>0138000100228</t>
  </si>
  <si>
    <t>ORD-202610-100229</t>
  </si>
  <si>
    <t>0138000100229</t>
  </si>
  <si>
    <t>ORD-202610-100230</t>
  </si>
  <si>
    <t>0138000100230</t>
  </si>
  <si>
    <t>ORD-202610-100231</t>
  </si>
  <si>
    <t>0138000100231</t>
  </si>
  <si>
    <t>ORD-202610-100232</t>
  </si>
  <si>
    <t>0138000100232</t>
  </si>
  <si>
    <t>ORD-202610-100233</t>
  </si>
  <si>
    <t>0138000100233</t>
  </si>
  <si>
    <t>ORD-202610-100234</t>
  </si>
  <si>
    <t>0138000100234</t>
  </si>
  <si>
    <t>ORD-202610-100235</t>
  </si>
  <si>
    <t>0138000100235</t>
  </si>
  <si>
    <t>ORD-202610-100236</t>
  </si>
  <si>
    <t>0138000100236</t>
  </si>
  <si>
    <t>ORD-202610-100237</t>
  </si>
  <si>
    <t>0138000100237</t>
  </si>
  <si>
    <t>ORD-202610-100238</t>
  </si>
  <si>
    <t>0138000100238</t>
  </si>
  <si>
    <t>ORD-202610-100239</t>
  </si>
  <si>
    <t>0138000100239</t>
  </si>
  <si>
    <t>ORD-202610-100240</t>
  </si>
  <si>
    <t>0138000100240</t>
  </si>
  <si>
    <t>ORD-202610-100241</t>
  </si>
  <si>
    <t>0138000100241</t>
  </si>
  <si>
    <t>ORD-202610-100242</t>
  </si>
  <si>
    <t>0138000100242</t>
  </si>
  <si>
    <t>ORD-202610-100243</t>
  </si>
  <si>
    <t>0138000100243</t>
  </si>
  <si>
    <t>ORD-202610-100244</t>
  </si>
  <si>
    <t>0138000100244</t>
  </si>
  <si>
    <t>ORD-202610-100245</t>
  </si>
  <si>
    <t>0138000100245</t>
  </si>
  <si>
    <t>ORD-202610-100246</t>
  </si>
  <si>
    <t>0138000100246</t>
  </si>
  <si>
    <t>ORD-202610-100247</t>
  </si>
  <si>
    <t>0138000100247</t>
  </si>
  <si>
    <t>ORD-202610-100248</t>
  </si>
  <si>
    <t>0138000100248</t>
  </si>
  <si>
    <t>ORD-202610-100249</t>
  </si>
  <si>
    <t>0138000100249</t>
  </si>
  <si>
    <t>ORD-202610-100250</t>
  </si>
  <si>
    <t>0138000100250</t>
  </si>
  <si>
    <t>ORD-202610-100251</t>
  </si>
  <si>
    <t>0138000100251</t>
  </si>
  <si>
    <t>ORD-202610-100252</t>
  </si>
  <si>
    <t>0138000100252</t>
  </si>
  <si>
    <t>ORD-202610-100253</t>
  </si>
  <si>
    <t>0138000100253</t>
  </si>
  <si>
    <t>ORD-202610-100254</t>
  </si>
  <si>
    <t>0138000100254</t>
  </si>
  <si>
    <t>ORD-202610-100255</t>
  </si>
  <si>
    <t>0138000100255</t>
  </si>
  <si>
    <t>ORD-202610-100256</t>
  </si>
  <si>
    <t>0138000100256</t>
  </si>
  <si>
    <t>ORD-202610-100257</t>
  </si>
  <si>
    <t>0138000100257</t>
  </si>
  <si>
    <t>ORD-202610-100258</t>
  </si>
  <si>
    <t>0138000100258</t>
  </si>
  <si>
    <t>ORD-202610-100259</t>
  </si>
  <si>
    <t>0138000100259</t>
  </si>
  <si>
    <t>ORD-202610-100260</t>
  </si>
  <si>
    <t>0138000100260</t>
  </si>
  <si>
    <t>ORD-202610-100261</t>
  </si>
  <si>
    <t>0138000100261</t>
  </si>
  <si>
    <t>ORD-202610-100262</t>
  </si>
  <si>
    <t>0138000100262</t>
  </si>
  <si>
    <t>ORD-202610-100263</t>
  </si>
  <si>
    <t>0138000100263</t>
  </si>
  <si>
    <t>ORD-202610-100264</t>
  </si>
  <si>
    <t>0138000100264</t>
  </si>
  <si>
    <t>ORD-202610-100265</t>
  </si>
  <si>
    <t>0138000100265</t>
  </si>
  <si>
    <t>ORD-202610-100266</t>
  </si>
  <si>
    <t>0138000100266</t>
  </si>
  <si>
    <t>ORD-202610-100267</t>
  </si>
  <si>
    <t>0138000100267</t>
  </si>
  <si>
    <t>ORD-202610-100268</t>
  </si>
  <si>
    <t>0138000100268</t>
  </si>
  <si>
    <t>ORD-202610-100269</t>
  </si>
  <si>
    <t>0138000100269</t>
  </si>
  <si>
    <t>ORD-202610-100270</t>
  </si>
  <si>
    <t>0138000100270</t>
  </si>
  <si>
    <t>ORD-202610-100271</t>
  </si>
  <si>
    <t>0138000100271</t>
  </si>
  <si>
    <t>ORD-202610-100272</t>
  </si>
  <si>
    <t>0138000100272</t>
  </si>
  <si>
    <t>ORD-202610-100273</t>
  </si>
  <si>
    <t>0138000100273</t>
  </si>
  <si>
    <t>ORD-202610-100274</t>
  </si>
  <si>
    <t>0138000100274</t>
  </si>
  <si>
    <t>ORD-202610-100275</t>
  </si>
  <si>
    <t>0138000100275</t>
  </si>
  <si>
    <t>ORD-202610-100276</t>
  </si>
  <si>
    <t>0138000100276</t>
  </si>
  <si>
    <t>ORD-202610-100277</t>
  </si>
  <si>
    <t>0138000100277</t>
  </si>
  <si>
    <t>ORD-202610-100278</t>
  </si>
  <si>
    <t>0138000100278</t>
  </si>
  <si>
    <t>ORD-202610-100279</t>
  </si>
  <si>
    <t>0138000100279</t>
  </si>
  <si>
    <t>ORD-202610-100280</t>
  </si>
  <si>
    <t>0138000100280</t>
  </si>
  <si>
    <t>ORD-202610-100281</t>
  </si>
  <si>
    <t>0138000100281</t>
  </si>
  <si>
    <t>ORD-202610-100282</t>
  </si>
  <si>
    <t>0138000100282</t>
  </si>
  <si>
    <t>ORD-202610-100283</t>
  </si>
  <si>
    <t>0138000100283</t>
  </si>
  <si>
    <t>ORD-202610-100284</t>
  </si>
  <si>
    <t>0138000100284</t>
  </si>
  <si>
    <t>ORD-202610-100285</t>
  </si>
  <si>
    <t>0138000100285</t>
  </si>
  <si>
    <t>ORD-202610-100286</t>
  </si>
  <si>
    <t>0138000100286</t>
  </si>
  <si>
    <t>ORD-202610-100287</t>
  </si>
  <si>
    <t>0138000100287</t>
  </si>
  <si>
    <t>ORD-202610-100288</t>
  </si>
  <si>
    <t>0138000100288</t>
  </si>
  <si>
    <t>ORD-202610-100289</t>
  </si>
  <si>
    <t>0138000100289</t>
  </si>
  <si>
    <t>ORD-202610-100290</t>
  </si>
  <si>
    <t>0138000100290</t>
  </si>
  <si>
    <t>ORD-202610-100291</t>
  </si>
  <si>
    <t>0138000100291</t>
  </si>
  <si>
    <t>ORD-202610-100292</t>
  </si>
  <si>
    <t>0138000100292</t>
  </si>
  <si>
    <t>ORD-202610-100293</t>
  </si>
  <si>
    <t>0138000100293</t>
  </si>
  <si>
    <t>ORD-202610-100294</t>
  </si>
  <si>
    <t>0138000100294</t>
  </si>
  <si>
    <t>ORD-202610-100295</t>
  </si>
  <si>
    <t>0138000100295</t>
  </si>
  <si>
    <t>ORD-202610-100296</t>
  </si>
  <si>
    <t>0138000100296</t>
  </si>
  <si>
    <t>ORD-202610-100297</t>
  </si>
  <si>
    <t>0138000100297</t>
  </si>
  <si>
    <t>ORD-202610-100298</t>
  </si>
  <si>
    <t>0138000100298</t>
  </si>
  <si>
    <t>ORD-202610-100299</t>
  </si>
  <si>
    <t>0138000100299</t>
  </si>
  <si>
    <t>ORD-202610-100300</t>
  </si>
  <si>
    <t>0138000100300</t>
  </si>
  <si>
    <t>ORD-202610-100301</t>
  </si>
  <si>
    <t>0138000100301</t>
  </si>
  <si>
    <t>ORD-202610-100302</t>
  </si>
  <si>
    <t>0138000100302</t>
  </si>
  <si>
    <t>ORD-202610-100303</t>
  </si>
  <si>
    <t>0138000100303</t>
  </si>
  <si>
    <t>ORD-202610-100304</t>
  </si>
  <si>
    <t>0138000100304</t>
  </si>
  <si>
    <t>ORD-202610-100305</t>
  </si>
  <si>
    <t>0138000100305</t>
  </si>
  <si>
    <t>ORD-202610-100306</t>
  </si>
  <si>
    <t>0138000100306</t>
  </si>
  <si>
    <t>ORD-202610-100307</t>
  </si>
  <si>
    <t>0138000100307</t>
  </si>
  <si>
    <t>ORD-202610-100308</t>
  </si>
  <si>
    <t>0138000100308</t>
  </si>
  <si>
    <t>ORD-202610-100309</t>
  </si>
  <si>
    <t>0138000100309</t>
  </si>
  <si>
    <t>ORD-202610-100310</t>
  </si>
  <si>
    <t>0138000100310</t>
  </si>
  <si>
    <t>ORD-202610-100311</t>
  </si>
  <si>
    <t>0138000100311</t>
  </si>
  <si>
    <t>ORD-202610-100312</t>
  </si>
  <si>
    <t>0138000100312</t>
  </si>
  <si>
    <t>ORD-202610-100313</t>
  </si>
  <si>
    <t>0138000100313</t>
  </si>
  <si>
    <t>ORD-202610-100314</t>
  </si>
  <si>
    <t>0138000100314</t>
  </si>
  <si>
    <t>ORD-202610-100315</t>
  </si>
  <si>
    <t>0138000100315</t>
  </si>
  <si>
    <t>ORD-202610-100316</t>
  </si>
  <si>
    <t>0138000100316</t>
  </si>
  <si>
    <t>ORD-202610-100317</t>
  </si>
  <si>
    <t>0138000100317</t>
  </si>
  <si>
    <t>ORD-202610-100318</t>
  </si>
  <si>
    <t>0138000100318</t>
  </si>
  <si>
    <t>ORD-202610-100319</t>
  </si>
  <si>
    <t>0138000100319</t>
  </si>
  <si>
    <t>ORD-202610-100320</t>
  </si>
  <si>
    <t>0138000100320</t>
  </si>
  <si>
    <t>ORD-202610-100321</t>
  </si>
  <si>
    <t>0138000100321</t>
  </si>
  <si>
    <t>ORD-202610-100322</t>
  </si>
  <si>
    <t>0138000100322</t>
  </si>
  <si>
    <t>ORD-202610-100323</t>
  </si>
  <si>
    <t>0138000100323</t>
  </si>
  <si>
    <t>ORD-202610-100324</t>
  </si>
  <si>
    <t>0138000100324</t>
  </si>
  <si>
    <t>ORD-202610-100325</t>
  </si>
  <si>
    <t>0138000100325</t>
  </si>
  <si>
    <t>ORD-202610-100326</t>
  </si>
  <si>
    <t>0138000100326</t>
  </si>
  <si>
    <t>ORD-202610-100327</t>
  </si>
  <si>
    <t>0138000100327</t>
  </si>
  <si>
    <t>ORD-202610-100328</t>
  </si>
  <si>
    <t>0138000100328</t>
  </si>
  <si>
    <t>ORD-202610-100329</t>
  </si>
  <si>
    <t>0138000100329</t>
  </si>
  <si>
    <t>ORD-202610-100330</t>
  </si>
  <si>
    <t>0138000100330</t>
  </si>
  <si>
    <t>ORD-202610-100331</t>
  </si>
  <si>
    <t>0138000100331</t>
  </si>
  <si>
    <t>ORD-202610-100332</t>
  </si>
  <si>
    <t>0138000100332</t>
  </si>
  <si>
    <t>ORD-202610-100333</t>
  </si>
  <si>
    <t>0138000100333</t>
  </si>
  <si>
    <t>ORD-202610-100334</t>
  </si>
  <si>
    <t>0138000100334</t>
  </si>
  <si>
    <t>ORD-202610-100335</t>
  </si>
  <si>
    <t>0138000100335</t>
  </si>
  <si>
    <t>ORD-202610-100336</t>
  </si>
  <si>
    <t>0138000100336</t>
  </si>
  <si>
    <t>ORD-202610-100337</t>
  </si>
  <si>
    <t>0138000100337</t>
  </si>
  <si>
    <t>ORD-202610-100338</t>
  </si>
  <si>
    <t>0138000100338</t>
  </si>
  <si>
    <t>ORD-202610-100339</t>
  </si>
  <si>
    <t>0138000100339</t>
  </si>
  <si>
    <t>ORD-202610-100340</t>
  </si>
  <si>
    <t>0138000100340</t>
  </si>
  <si>
    <t>ORD-202610-100341</t>
  </si>
  <si>
    <t>0138000100341</t>
  </si>
  <si>
    <t>ORD-202610-100342</t>
  </si>
  <si>
    <t>0138000100342</t>
  </si>
  <si>
    <t>ORD-202610-100343</t>
  </si>
  <si>
    <t>0138000100343</t>
  </si>
  <si>
    <t>ORD-202610-100344</t>
  </si>
  <si>
    <t>0138000100344</t>
  </si>
  <si>
    <t>ORD-202610-100345</t>
  </si>
  <si>
    <t>0138000100345</t>
  </si>
  <si>
    <t>ORD-202610-100346</t>
  </si>
  <si>
    <t>0138000100346</t>
  </si>
  <si>
    <t>ORD-202610-100347</t>
  </si>
  <si>
    <t>0138000100347</t>
  </si>
  <si>
    <t>ORD-202610-100348</t>
  </si>
  <si>
    <t>0138000100348</t>
  </si>
  <si>
    <t>ORD-202610-100349</t>
  </si>
  <si>
    <t>0138000100349</t>
  </si>
  <si>
    <t>ORD-202610-100350</t>
  </si>
  <si>
    <t>0138000100350</t>
  </si>
  <si>
    <t>ORD-202610-100351</t>
  </si>
  <si>
    <t>0138000100351</t>
  </si>
  <si>
    <t>ORD-202610-100352</t>
  </si>
  <si>
    <t>0138000100352</t>
  </si>
  <si>
    <t>ORD-202610-100353</t>
  </si>
  <si>
    <t>0138000100353</t>
  </si>
  <si>
    <t>ORD-202610-100354</t>
  </si>
  <si>
    <t>0138000100354</t>
  </si>
  <si>
    <t>ORD-202610-100355</t>
  </si>
  <si>
    <t>0138000100355</t>
  </si>
  <si>
    <t>ORD-202610-100356</t>
  </si>
  <si>
    <t>0138000100356</t>
  </si>
  <si>
    <t>ORD-202610-100357</t>
  </si>
  <si>
    <t>0138000100357</t>
  </si>
  <si>
    <t>ORD-202610-100358</t>
  </si>
  <si>
    <t>0138000100358</t>
  </si>
  <si>
    <t>ORD-202610-100359</t>
  </si>
  <si>
    <t>0138000100359</t>
  </si>
  <si>
    <t>ORD-202610-100360</t>
  </si>
  <si>
    <t>0138000100360</t>
  </si>
  <si>
    <t>ORD-202610-100361</t>
  </si>
  <si>
    <t>0138000100361</t>
  </si>
  <si>
    <t>ORD-202610-100362</t>
  </si>
  <si>
    <t>0138000100362</t>
  </si>
  <si>
    <t>ORD-202610-100363</t>
  </si>
  <si>
    <t>0138000100363</t>
  </si>
  <si>
    <t>ORD-202610-100364</t>
  </si>
  <si>
    <t>0138000100364</t>
  </si>
  <si>
    <t>ORD-202610-100365</t>
  </si>
  <si>
    <t>0138000100365</t>
  </si>
  <si>
    <t>ORD-202610-100366</t>
  </si>
  <si>
    <t>0138000100366</t>
  </si>
  <si>
    <t>ORD-202610-100367</t>
  </si>
  <si>
    <t>0138000100367</t>
  </si>
  <si>
    <t>ORD-202610-100368</t>
  </si>
  <si>
    <t>0138000100368</t>
  </si>
  <si>
    <t>ORD-202610-100369</t>
  </si>
  <si>
    <t>0138000100369</t>
  </si>
  <si>
    <t>ORD-202610-100370</t>
  </si>
  <si>
    <t>0138000100370</t>
  </si>
  <si>
    <t>ORD-202610-100371</t>
  </si>
  <si>
    <t>0138000100371</t>
  </si>
  <si>
    <t>ORD-202610-100372</t>
  </si>
  <si>
    <t>0138000100372</t>
  </si>
  <si>
    <t>ORD-202610-100373</t>
  </si>
  <si>
    <t>0138000100373</t>
  </si>
  <si>
    <t>ORD-202610-100374</t>
  </si>
  <si>
    <t>0138000100374</t>
  </si>
  <si>
    <t>ORD-202610-100375</t>
  </si>
  <si>
    <t>0138000100375</t>
  </si>
  <si>
    <t>ORD-202610-100376</t>
  </si>
  <si>
    <t>0138000100376</t>
  </si>
  <si>
    <t>ORD-202610-100377</t>
  </si>
  <si>
    <t>0138000100377</t>
  </si>
  <si>
    <t>ORD-202610-100378</t>
  </si>
  <si>
    <t>0138000100378</t>
  </si>
  <si>
    <t>ORD-202610-100379</t>
  </si>
  <si>
    <t>0138000100379</t>
  </si>
  <si>
    <t>ORD-202610-100380</t>
  </si>
  <si>
    <t>0138000100380</t>
  </si>
  <si>
    <t>ORD-202610-100381</t>
  </si>
  <si>
    <t>0138000100381</t>
  </si>
  <si>
    <t>ORD-202610-100382</t>
  </si>
  <si>
    <t>0138000100382</t>
  </si>
  <si>
    <t>ORD-202610-100383</t>
  </si>
  <si>
    <t>0138000100383</t>
  </si>
  <si>
    <t>ORD-202610-100384</t>
  </si>
  <si>
    <t>0138000100384</t>
  </si>
  <si>
    <t>ORD-202610-100385</t>
  </si>
  <si>
    <t>0138000100385</t>
  </si>
  <si>
    <t>ORD-202610-100386</t>
  </si>
  <si>
    <t>0138000100386</t>
  </si>
  <si>
    <t>ORD-202610-100387</t>
  </si>
  <si>
    <t>0138000100387</t>
  </si>
  <si>
    <t>ORD-202610-100388</t>
  </si>
  <si>
    <t>0138000100388</t>
  </si>
  <si>
    <t>ORD-202610-100389</t>
  </si>
  <si>
    <t>0138000100389</t>
  </si>
  <si>
    <t>ORD-202610-100390</t>
  </si>
  <si>
    <t>0138000100390</t>
  </si>
  <si>
    <t>ORD-202610-100391</t>
  </si>
  <si>
    <t>0138000100391</t>
  </si>
  <si>
    <t>ORD-202610-100392</t>
  </si>
  <si>
    <t>0138000100392</t>
  </si>
  <si>
    <t>ORD-202610-100393</t>
  </si>
  <si>
    <t>0138000100393</t>
  </si>
  <si>
    <t>ORD-202610-100394</t>
  </si>
  <si>
    <t>0138000100394</t>
  </si>
  <si>
    <t>ORD-202610-100395</t>
  </si>
  <si>
    <t>0138000100395</t>
  </si>
  <si>
    <t>ORD-202610-100396</t>
  </si>
  <si>
    <t>0138000100396</t>
  </si>
  <si>
    <t>ORD-202610-100397</t>
  </si>
  <si>
    <t>0138000100397</t>
  </si>
  <si>
    <t>ORD-202610-100398</t>
  </si>
  <si>
    <t>0138000100398</t>
  </si>
  <si>
    <t>ORD-202610-100399</t>
  </si>
  <si>
    <t>0138000100399</t>
  </si>
  <si>
    <t>ORD-202610-100400</t>
  </si>
  <si>
    <t>0138000100400</t>
  </si>
  <si>
    <t>ORD-202610-100401</t>
  </si>
  <si>
    <t>0138000100401</t>
  </si>
  <si>
    <t>ORD-202610-100402</t>
  </si>
  <si>
    <t>0138000100402</t>
  </si>
  <si>
    <t>ORD-202610-100403</t>
  </si>
  <si>
    <t>0138000100403</t>
  </si>
  <si>
    <t>ORD-202610-100404</t>
  </si>
  <si>
    <t>0138000100404</t>
  </si>
  <si>
    <t>ORD-202610-100405</t>
  </si>
  <si>
    <t>0138000100405</t>
  </si>
  <si>
    <t>ORD-202610-100406</t>
  </si>
  <si>
    <t>0138000100406</t>
  </si>
  <si>
    <t>ORD-202610-100407</t>
  </si>
  <si>
    <t>0138000100407</t>
  </si>
  <si>
    <t>ORD-202610-100408</t>
  </si>
  <si>
    <t>0138000100408</t>
  </si>
  <si>
    <t>ORD-202610-100409</t>
  </si>
  <si>
    <t>0138000100409</t>
  </si>
  <si>
    <t>ORD-202610-100410</t>
  </si>
  <si>
    <t>0138000100410</t>
  </si>
  <si>
    <t>ORD-202610-100411</t>
  </si>
  <si>
    <t>0138000100411</t>
  </si>
  <si>
    <t>ORD-202610-100412</t>
  </si>
  <si>
    <t>0138000100412</t>
  </si>
  <si>
    <t>ORD-202610-100413</t>
  </si>
  <si>
    <t>0138000100413</t>
  </si>
  <si>
    <t>ORD-202610-100414</t>
  </si>
  <si>
    <t>0138000100414</t>
  </si>
  <si>
    <t>ORD-202610-100415</t>
  </si>
  <si>
    <t>0138000100415</t>
  </si>
  <si>
    <t>ORD-202610-100416</t>
  </si>
  <si>
    <t>0138000100416</t>
  </si>
  <si>
    <t>ORD-202610-100417</t>
  </si>
  <si>
    <t>0138000100417</t>
  </si>
  <si>
    <t>ORD-202610-100418</t>
  </si>
  <si>
    <t>0138000100418</t>
  </si>
  <si>
    <t>ORD-202610-100419</t>
  </si>
  <si>
    <t>0138000100419</t>
  </si>
  <si>
    <t>ORD-202610-100420</t>
  </si>
  <si>
    <t>0138000100420</t>
  </si>
  <si>
    <t>ORD-202610-100421</t>
  </si>
  <si>
    <t>0138000100421</t>
  </si>
  <si>
    <t>ORD-202610-100422</t>
  </si>
  <si>
    <t>0138000100422</t>
  </si>
  <si>
    <t>ORD-202610-100423</t>
  </si>
  <si>
    <t>0138000100423</t>
  </si>
  <si>
    <t>ORD-202610-100424</t>
  </si>
  <si>
    <t>0138000100424</t>
  </si>
  <si>
    <t>ORD-202610-100425</t>
  </si>
  <si>
    <t>0138000100425</t>
  </si>
  <si>
    <t>ORD-202610-100426</t>
  </si>
  <si>
    <t>0138000100426</t>
  </si>
  <si>
    <t>ORD-202610-100427</t>
  </si>
  <si>
    <t>0138000100427</t>
  </si>
  <si>
    <t>ORD-202610-100428</t>
  </si>
  <si>
    <t>0138000100428</t>
  </si>
  <si>
    <t>ORD-202610-100429</t>
  </si>
  <si>
    <t>0138000100429</t>
  </si>
  <si>
    <t>ORD-202610-100430</t>
  </si>
  <si>
    <t>0138000100430</t>
  </si>
  <si>
    <t>ORD-202610-100431</t>
  </si>
  <si>
    <t>0138000100431</t>
  </si>
  <si>
    <t>ORD-202610-100432</t>
  </si>
  <si>
    <t>0138000100432</t>
  </si>
  <si>
    <t>ORD-202610-100433</t>
  </si>
  <si>
    <t>0138000100433</t>
  </si>
  <si>
    <t>ORD-202610-100434</t>
  </si>
  <si>
    <t>0138000100434</t>
  </si>
  <si>
    <t>ORD-202610-100435</t>
  </si>
  <si>
    <t>0138000100435</t>
  </si>
  <si>
    <t>ORD-202610-100436</t>
  </si>
  <si>
    <t>0138000100436</t>
  </si>
  <si>
    <t>ORD-202610-100437</t>
  </si>
  <si>
    <t>0138000100437</t>
  </si>
  <si>
    <t>ORD-202610-100438</t>
  </si>
  <si>
    <t>0138000100438</t>
  </si>
  <si>
    <t>ORD-202610-100439</t>
  </si>
  <si>
    <t>0138000100439</t>
  </si>
  <si>
    <t>ORD-202610-100440</t>
  </si>
  <si>
    <t>0138000100440</t>
  </si>
  <si>
    <t>ORD-202610-100441</t>
  </si>
  <si>
    <t>0138000100441</t>
  </si>
  <si>
    <t>ORD-202610-100442</t>
  </si>
  <si>
    <t>0138000100442</t>
  </si>
  <si>
    <t>ORD-202610-100443</t>
  </si>
  <si>
    <t>0138000100443</t>
  </si>
  <si>
    <t>ORD-202610-100444</t>
  </si>
  <si>
    <t>0138000100444</t>
  </si>
  <si>
    <t>ORD-202610-100445</t>
  </si>
  <si>
    <t>0138000100445</t>
  </si>
  <si>
    <t>ORD-202610-100446</t>
  </si>
  <si>
    <t>0138000100446</t>
  </si>
  <si>
    <t>ORD-202610-100447</t>
  </si>
  <si>
    <t>0138000100447</t>
  </si>
  <si>
    <t>ORD-202610-100448</t>
  </si>
  <si>
    <t>0138000100448</t>
  </si>
  <si>
    <t>ORD-202610-100449</t>
  </si>
  <si>
    <t>0138000100449</t>
  </si>
  <si>
    <t>ORD-202610-100450</t>
  </si>
  <si>
    <t>0138000100450</t>
  </si>
  <si>
    <t>ORD-202610-100451</t>
  </si>
  <si>
    <t>0138000100451</t>
  </si>
  <si>
    <t>ORD-202610-100452</t>
  </si>
  <si>
    <t>0138000100452</t>
  </si>
  <si>
    <t>ORD-202610-100453</t>
  </si>
  <si>
    <t>0138000100453</t>
  </si>
  <si>
    <t>ORD-202610-100454</t>
  </si>
  <si>
    <t>0138000100454</t>
  </si>
  <si>
    <t>ORD-202610-100455</t>
  </si>
  <si>
    <t>0138000100455</t>
  </si>
  <si>
    <t>ORD-202610-100456</t>
  </si>
  <si>
    <t>0138000100456</t>
  </si>
  <si>
    <t>ORD-202610-100457</t>
  </si>
  <si>
    <t>0138000100457</t>
  </si>
  <si>
    <t>ORD-202610-100458</t>
  </si>
  <si>
    <t>0138000100458</t>
  </si>
  <si>
    <t>ORD-202610-100459</t>
  </si>
  <si>
    <t>0138000100459</t>
  </si>
  <si>
    <t>ORD-202610-100460</t>
  </si>
  <si>
    <t>0138000100460</t>
  </si>
  <si>
    <t>ORD-202610-100461</t>
  </si>
  <si>
    <t>0138000100461</t>
  </si>
  <si>
    <t>ORD-202610-100462</t>
  </si>
  <si>
    <t>0138000100462</t>
  </si>
  <si>
    <t>ORD-202610-100463</t>
  </si>
  <si>
    <t>0138000100463</t>
  </si>
  <si>
    <t>ORD-202610-100464</t>
  </si>
  <si>
    <t>0138000100464</t>
  </si>
  <si>
    <t>ORD-202610-100465</t>
  </si>
  <si>
    <t>0138000100465</t>
  </si>
  <si>
    <t>ORD-202610-100466</t>
  </si>
  <si>
    <t>0138000100466</t>
  </si>
  <si>
    <t>ORD-202610-100467</t>
  </si>
  <si>
    <t>0138000100467</t>
  </si>
  <si>
    <t>ORD-202610-100468</t>
  </si>
  <si>
    <t>0138000100468</t>
  </si>
  <si>
    <t>ORD-202610-100469</t>
  </si>
  <si>
    <t>0138000100469</t>
  </si>
  <si>
    <t>ORD-202610-100470</t>
  </si>
  <si>
    <t>0138000100470</t>
  </si>
  <si>
    <t>ORD-202610-100471</t>
  </si>
  <si>
    <t>0138000100471</t>
  </si>
  <si>
    <t>ORD-202610-100472</t>
  </si>
  <si>
    <t>0138000100472</t>
  </si>
  <si>
    <t>ORD-202610-100473</t>
  </si>
  <si>
    <t>0138000100473</t>
  </si>
  <si>
    <t>ORD-202610-100474</t>
  </si>
  <si>
    <t>0138000100474</t>
  </si>
  <si>
    <t>ORD-202610-100475</t>
  </si>
  <si>
    <t>0138000100475</t>
  </si>
  <si>
    <t>ORD-202610-100476</t>
  </si>
  <si>
    <t>0138000100476</t>
  </si>
  <si>
    <t>ORD-202610-100477</t>
  </si>
  <si>
    <t>0138000100477</t>
  </si>
  <si>
    <t>ORD-202610-100478</t>
  </si>
  <si>
    <t>0138000100478</t>
  </si>
  <si>
    <t>ORD-202610-100479</t>
  </si>
  <si>
    <t>0138000100479</t>
  </si>
  <si>
    <t>ORD-202610-100480</t>
  </si>
  <si>
    <t>0138000100480</t>
  </si>
  <si>
    <t>ORD-202610-100481</t>
  </si>
  <si>
    <t>0138000100481</t>
  </si>
  <si>
    <t>ORD-202610-100482</t>
  </si>
  <si>
    <t>0138000100482</t>
  </si>
  <si>
    <t>ORD-202610-100483</t>
  </si>
  <si>
    <t>0138000100483</t>
  </si>
  <si>
    <t>ORD-202610-100484</t>
  </si>
  <si>
    <t>0138000100484</t>
  </si>
  <si>
    <t>ORD-202610-100485</t>
  </si>
  <si>
    <t>0138000100485</t>
  </si>
  <si>
    <t>ORD-202610-100486</t>
  </si>
  <si>
    <t>0138000100486</t>
  </si>
  <si>
    <t>ORD-202610-100487</t>
  </si>
  <si>
    <t>0138000100487</t>
  </si>
  <si>
    <t>ORD-202610-100488</t>
  </si>
  <si>
    <t>0138000100488</t>
  </si>
  <si>
    <t>ORD-202610-100489</t>
  </si>
  <si>
    <t>0138000100489</t>
  </si>
  <si>
    <t>ORD-202610-100490</t>
  </si>
  <si>
    <t>0138000100490</t>
  </si>
  <si>
    <t>ORD-202610-100491</t>
  </si>
  <si>
    <t>0138000100491</t>
  </si>
  <si>
    <t>ORD-202610-100492</t>
  </si>
  <si>
    <t>0138000100492</t>
  </si>
  <si>
    <t>ORD-202610-100493</t>
  </si>
  <si>
    <t>0138000100493</t>
  </si>
  <si>
    <t>ORD-202610-100494</t>
  </si>
  <si>
    <t>0138000100494</t>
  </si>
  <si>
    <t>ORD-202610-100495</t>
  </si>
  <si>
    <t>0138000100495</t>
  </si>
  <si>
    <t>ORD-202610-100496</t>
  </si>
  <si>
    <t>0138000100496</t>
  </si>
  <si>
    <t>ORD-202610-100497</t>
  </si>
  <si>
    <t>0138000100497</t>
  </si>
  <si>
    <t>ORD-202610-100498</t>
  </si>
  <si>
    <t>0138000100498</t>
  </si>
  <si>
    <t>ORD-202610-100499</t>
  </si>
  <si>
    <t>0138000100499</t>
  </si>
  <si>
    <t>ORD-202610-100500</t>
  </si>
  <si>
    <t>0138000100500</t>
  </si>
  <si>
    <t>ORD-202610-100501</t>
  </si>
  <si>
    <t>0138000100501</t>
  </si>
  <si>
    <t>ORD-202610-100502</t>
  </si>
  <si>
    <t>0138000100502</t>
  </si>
  <si>
    <t>ORD-202610-100503</t>
  </si>
  <si>
    <t>0138000100503</t>
  </si>
  <si>
    <t>ORD-202610-100504</t>
  </si>
  <si>
    <t>0138000100504</t>
  </si>
  <si>
    <t>ORD-202610-100505</t>
  </si>
  <si>
    <t>0138000100505</t>
  </si>
  <si>
    <t>ORD-202610-100506</t>
  </si>
  <si>
    <t>0138000100506</t>
  </si>
  <si>
    <t>ORD-202610-100507</t>
  </si>
  <si>
    <t>0138000100507</t>
  </si>
  <si>
    <t>ORD-202610-100508</t>
  </si>
  <si>
    <t>0138000100508</t>
  </si>
  <si>
    <t>ORD-202610-100509</t>
  </si>
  <si>
    <t>0138000100509</t>
  </si>
  <si>
    <t>ORD-202610-100510</t>
  </si>
  <si>
    <t>0138000100510</t>
  </si>
  <si>
    <t>ORD-202610-100511</t>
  </si>
  <si>
    <t>0138000100511</t>
  </si>
  <si>
    <t>ORD-202610-100512</t>
  </si>
  <si>
    <t>0138000100512</t>
  </si>
  <si>
    <t>ORD-202610-100513</t>
  </si>
  <si>
    <t>0138000100513</t>
  </si>
  <si>
    <t>ORD-202610-100514</t>
  </si>
  <si>
    <t>0138000100514</t>
  </si>
  <si>
    <t>ORD-202610-100515</t>
  </si>
  <si>
    <t>0138000100515</t>
  </si>
  <si>
    <t>ORD-202610-100516</t>
  </si>
  <si>
    <t>0138000100516</t>
  </si>
  <si>
    <t>ORD-202610-100517</t>
  </si>
  <si>
    <t>0138000100517</t>
  </si>
  <si>
    <t>ORD-202610-100518</t>
  </si>
  <si>
    <t>0138000100518</t>
  </si>
  <si>
    <t>ORD-202610-100519</t>
  </si>
  <si>
    <t>0138000100519</t>
  </si>
  <si>
    <t>ORD-202610-100520</t>
  </si>
  <si>
    <t>0138000100520</t>
  </si>
  <si>
    <t>ORD-202610-100521</t>
  </si>
  <si>
    <t>0138000100521</t>
  </si>
  <si>
    <t>ORD-202610-100522</t>
  </si>
  <si>
    <t>0138000100522</t>
  </si>
  <si>
    <t>ORD-202610-100523</t>
  </si>
  <si>
    <t>0138000100523</t>
  </si>
  <si>
    <t>ORD-202610-100524</t>
  </si>
  <si>
    <t>0138000100524</t>
  </si>
  <si>
    <t>ORD-202610-100525</t>
  </si>
  <si>
    <t>0138000100525</t>
  </si>
  <si>
    <t>ORD-202610-100526</t>
  </si>
  <si>
    <t>0138000100526</t>
  </si>
  <si>
    <t>ORD-202610-100527</t>
  </si>
  <si>
    <t>0138000100527</t>
  </si>
  <si>
    <t>ORD-202610-100528</t>
  </si>
  <si>
    <t>0138000100528</t>
  </si>
  <si>
    <t>ORD-202610-100529</t>
  </si>
  <si>
    <t>0138000100529</t>
  </si>
  <si>
    <t>ORD-202610-100530</t>
  </si>
  <si>
    <t>0138000100530</t>
  </si>
  <si>
    <t>ORD-202610-100531</t>
  </si>
  <si>
    <t>0138000100531</t>
  </si>
  <si>
    <t>ORD-202610-100532</t>
  </si>
  <si>
    <t>0138000100532</t>
  </si>
  <si>
    <t>ORD-202610-100533</t>
  </si>
  <si>
    <t>0138000100533</t>
  </si>
  <si>
    <t>ORD-202610-100534</t>
  </si>
  <si>
    <t>0138000100534</t>
  </si>
  <si>
    <t>ORD-202610-100535</t>
  </si>
  <si>
    <t>0138000100535</t>
  </si>
  <si>
    <t>ORD-202610-100536</t>
  </si>
  <si>
    <t>0138000100536</t>
  </si>
  <si>
    <t>ORD-202610-100537</t>
  </si>
  <si>
    <t>0138000100537</t>
  </si>
  <si>
    <t>ORD-202610-100538</t>
  </si>
  <si>
    <t>0138000100538</t>
  </si>
  <si>
    <t>ORD-202610-100539</t>
  </si>
  <si>
    <t>0138000100539</t>
  </si>
  <si>
    <t>ORD-202610-100540</t>
  </si>
  <si>
    <t>0138000100540</t>
  </si>
  <si>
    <t>ORD-202610-100541</t>
  </si>
  <si>
    <t>0138000100541</t>
  </si>
  <si>
    <t>ORD-202610-100542</t>
  </si>
  <si>
    <t>0138000100542</t>
  </si>
  <si>
    <t>ORD-202610-100543</t>
  </si>
  <si>
    <t>0138000100543</t>
  </si>
  <si>
    <t>ORD-202610-100544</t>
  </si>
  <si>
    <t>0138000100544</t>
  </si>
  <si>
    <t>ORD-202610-100545</t>
  </si>
  <si>
    <t>0138000100545</t>
  </si>
  <si>
    <t>ORD-202610-100546</t>
  </si>
  <si>
    <t>0138000100546</t>
  </si>
  <si>
    <t>ORD-202610-100547</t>
  </si>
  <si>
    <t>0138000100547</t>
  </si>
  <si>
    <t>ORD-202610-100548</t>
  </si>
  <si>
    <t>0138000100548</t>
  </si>
  <si>
    <t>ORD-202610-100549</t>
  </si>
  <si>
    <t>0138000100549</t>
  </si>
  <si>
    <t>ORD-202610-100550</t>
  </si>
  <si>
    <t>0138000100550</t>
  </si>
  <si>
    <t>ORD-202610-100551</t>
  </si>
  <si>
    <t>0138000100551</t>
  </si>
  <si>
    <t>ORD-202610-100552</t>
  </si>
  <si>
    <t>0138000100552</t>
  </si>
  <si>
    <t>ORD-202610-100553</t>
  </si>
  <si>
    <t>0138000100553</t>
  </si>
  <si>
    <t>ORD-202610-100554</t>
  </si>
  <si>
    <t>0138000100554</t>
  </si>
  <si>
    <t>ORD-202610-100555</t>
  </si>
  <si>
    <t>0138000100555</t>
  </si>
  <si>
    <t>ORD-202610-100556</t>
  </si>
  <si>
    <t>0138000100556</t>
  </si>
  <si>
    <t>ORD-202610-100557</t>
  </si>
  <si>
    <t>0138000100557</t>
  </si>
  <si>
    <t>ORD-202610-100558</t>
  </si>
  <si>
    <t>0138000100558</t>
  </si>
  <si>
    <t>ORD-202610-100559</t>
  </si>
  <si>
    <t>0138000100559</t>
  </si>
  <si>
    <t>ORD-202610-100560</t>
  </si>
  <si>
    <t>0138000100560</t>
  </si>
  <si>
    <t>ORD-202610-100561</t>
  </si>
  <si>
    <t>0138000100561</t>
  </si>
  <si>
    <t>ORD-202610-100562</t>
  </si>
  <si>
    <t>0138000100562</t>
  </si>
  <si>
    <t>ORD-202610-100563</t>
  </si>
  <si>
    <t>0138000100563</t>
  </si>
  <si>
    <t>ORD-202610-100564</t>
  </si>
  <si>
    <t>0138000100564</t>
  </si>
  <si>
    <t>ORD-202610-100565</t>
  </si>
  <si>
    <t>0138000100565</t>
  </si>
  <si>
    <t>ORD-202610-100566</t>
  </si>
  <si>
    <t>0138000100566</t>
  </si>
  <si>
    <t>ORD-202610-100567</t>
  </si>
  <si>
    <t>0138000100567</t>
  </si>
  <si>
    <t>ORD-202610-100568</t>
  </si>
  <si>
    <t>0138000100568</t>
  </si>
  <si>
    <t>ORD-202610-100569</t>
  </si>
  <si>
    <t>0138000100569</t>
  </si>
  <si>
    <t>ORD-202610-100570</t>
  </si>
  <si>
    <t>0138000100570</t>
  </si>
  <si>
    <t>ORD-202610-100571</t>
  </si>
  <si>
    <t>0138000100571</t>
  </si>
  <si>
    <t>ORD-202610-100572</t>
  </si>
  <si>
    <t>0138000100572</t>
  </si>
  <si>
    <t>ORD-202610-100573</t>
  </si>
  <si>
    <t>0138000100573</t>
  </si>
  <si>
    <t>ORD-202610-100574</t>
  </si>
  <si>
    <t>0138000100574</t>
  </si>
  <si>
    <t>ORD-202610-100575</t>
  </si>
  <si>
    <t>0138000100575</t>
  </si>
  <si>
    <t>ORD-202610-100576</t>
  </si>
  <si>
    <t>0138000100576</t>
  </si>
  <si>
    <t>ORD-202610-100577</t>
  </si>
  <si>
    <t>0138000100577</t>
  </si>
  <si>
    <t>ORD-202610-100578</t>
  </si>
  <si>
    <t>0138000100578</t>
  </si>
  <si>
    <t>ORD-202610-100579</t>
  </si>
  <si>
    <t>0138000100579</t>
  </si>
  <si>
    <t>ORD-202610-100580</t>
  </si>
  <si>
    <t>0138000100580</t>
  </si>
  <si>
    <t>ORD-202610-100581</t>
  </si>
  <si>
    <t>0138000100581</t>
  </si>
  <si>
    <t>ORD-202610-100582</t>
  </si>
  <si>
    <t>0138000100582</t>
  </si>
  <si>
    <t>ORD-202610-100583</t>
  </si>
  <si>
    <t>0138000100583</t>
  </si>
  <si>
    <t>ORD-202610-100584</t>
  </si>
  <si>
    <t>0138000100584</t>
  </si>
  <si>
    <t>ORD-202610-100585</t>
  </si>
  <si>
    <t>0138000100585</t>
  </si>
  <si>
    <t>ORD-202610-100586</t>
  </si>
  <si>
    <t>0138000100586</t>
  </si>
  <si>
    <t>ORD-202610-100587</t>
  </si>
  <si>
    <t>0138000100587</t>
  </si>
  <si>
    <t>ORD-202610-100588</t>
  </si>
  <si>
    <t>0138000100588</t>
  </si>
  <si>
    <t>ORD-202610-100589</t>
  </si>
  <si>
    <t>0138000100589</t>
  </si>
  <si>
    <t>ORD-202610-100590</t>
  </si>
  <si>
    <t>0138000100590</t>
  </si>
  <si>
    <t>ORD-202610-100591</t>
  </si>
  <si>
    <t>0138000100591</t>
  </si>
  <si>
    <t>ORD-202610-100592</t>
  </si>
  <si>
    <t>0138000100592</t>
  </si>
  <si>
    <t>ORD-202610-100593</t>
  </si>
  <si>
    <t>0138000100593</t>
  </si>
  <si>
    <t>ORD-202610-100594</t>
  </si>
  <si>
    <t>0138000100594</t>
  </si>
  <si>
    <t>ORD-202610-100595</t>
  </si>
  <si>
    <t>0138000100595</t>
  </si>
  <si>
    <t>ORD-202610-100596</t>
  </si>
  <si>
    <t>0138000100596</t>
  </si>
  <si>
    <t>ORD-202610-100597</t>
  </si>
  <si>
    <t>0138000100597</t>
  </si>
  <si>
    <t>ORD-202610-100598</t>
  </si>
  <si>
    <t>0138000100598</t>
  </si>
  <si>
    <t>ORD-202610-100599</t>
  </si>
  <si>
    <t>0138000100599</t>
  </si>
  <si>
    <t>ORD-202610-100600</t>
  </si>
  <si>
    <t>0138000100600</t>
  </si>
  <si>
    <t>ORD-202610-100601</t>
  </si>
  <si>
    <t>0138000100601</t>
  </si>
  <si>
    <t>ORD-202610-100602</t>
  </si>
  <si>
    <t>0138000100602</t>
  </si>
  <si>
    <t>ORD-202610-100603</t>
  </si>
  <si>
    <t>0138000100603</t>
  </si>
  <si>
    <t>ORD-202610-100604</t>
  </si>
  <si>
    <t>0138000100604</t>
  </si>
  <si>
    <t>ORD-202610-100605</t>
  </si>
  <si>
    <t>0138000100605</t>
  </si>
  <si>
    <t>ORD-202610-100606</t>
  </si>
  <si>
    <t>0138000100606</t>
  </si>
  <si>
    <t>ORD-202610-100607</t>
  </si>
  <si>
    <t>0138000100607</t>
  </si>
  <si>
    <t>ORD-202610-100608</t>
  </si>
  <si>
    <t>0138000100608</t>
  </si>
  <si>
    <t>ORD-202610-100609</t>
  </si>
  <si>
    <t>0138000100609</t>
  </si>
  <si>
    <t>ORD-202610-100610</t>
  </si>
  <si>
    <t>0138000100610</t>
  </si>
  <si>
    <t>ORD-202610-100611</t>
  </si>
  <si>
    <t>0138000100611</t>
  </si>
  <si>
    <t>ORD-202610-100612</t>
  </si>
  <si>
    <t>0138000100612</t>
  </si>
  <si>
    <t>ORD-202610-100613</t>
  </si>
  <si>
    <t>0138000100613</t>
  </si>
  <si>
    <t>ORD-202610-100614</t>
  </si>
  <si>
    <t>0138000100614</t>
  </si>
  <si>
    <t>ORD-202610-100615</t>
  </si>
  <si>
    <t>0138000100615</t>
  </si>
  <si>
    <t>ORD-202610-100616</t>
  </si>
  <si>
    <t>0138000100616</t>
  </si>
  <si>
    <t>ORD-202610-100617</t>
  </si>
  <si>
    <t>0138000100617</t>
  </si>
  <si>
    <t>ORD-202610-100618</t>
  </si>
  <si>
    <t>0138000100618</t>
  </si>
  <si>
    <t>ORD-202610-100619</t>
  </si>
  <si>
    <t>0138000100619</t>
  </si>
  <si>
    <t>ORD-202610-100620</t>
  </si>
  <si>
    <t>0138000100620</t>
  </si>
  <si>
    <t>ORD-202610-100621</t>
  </si>
  <si>
    <t>0138000100621</t>
  </si>
  <si>
    <t>ORD-202610-100622</t>
  </si>
  <si>
    <t>0138000100622</t>
  </si>
  <si>
    <t>ORD-202610-100623</t>
  </si>
  <si>
    <t>0138000100623</t>
  </si>
  <si>
    <t>ORD-202610-100624</t>
  </si>
  <si>
    <t>0138000100624</t>
  </si>
  <si>
    <t>ORD-202610-100625</t>
  </si>
  <si>
    <t>0138000100625</t>
  </si>
  <si>
    <t>ORD-202610-100626</t>
  </si>
  <si>
    <t>0138000100626</t>
  </si>
  <si>
    <t>ORD-202610-100627</t>
  </si>
  <si>
    <t>0138000100627</t>
  </si>
  <si>
    <t>ORD-202610-100628</t>
  </si>
  <si>
    <t>0138000100628</t>
  </si>
  <si>
    <t>ORD-202610-100629</t>
  </si>
  <si>
    <t>0138000100629</t>
  </si>
  <si>
    <t>ORD-202610-100630</t>
  </si>
  <si>
    <t>0138000100630</t>
  </si>
  <si>
    <t>ORD-202610-100631</t>
  </si>
  <si>
    <t>0138000100631</t>
  </si>
  <si>
    <t>ORD-202610-100632</t>
  </si>
  <si>
    <t>0138000100632</t>
  </si>
  <si>
    <t>ORD-202610-100633</t>
  </si>
  <si>
    <t>0138000100633</t>
  </si>
  <si>
    <t>ORD-202610-100634</t>
  </si>
  <si>
    <t>0138000100634</t>
  </si>
  <si>
    <t>ORD-202610-100635</t>
  </si>
  <si>
    <t>0138000100635</t>
  </si>
  <si>
    <t>ORD-202610-100636</t>
  </si>
  <si>
    <t>0138000100636</t>
  </si>
  <si>
    <t>ORD-202610-100637</t>
  </si>
  <si>
    <t>0138000100637</t>
  </si>
  <si>
    <t>ORD-202610-100638</t>
  </si>
  <si>
    <t>0138000100638</t>
  </si>
  <si>
    <t>ORD-202610-100639</t>
  </si>
  <si>
    <t>0138000100639</t>
  </si>
  <si>
    <t>ORD-202610-100640</t>
  </si>
  <si>
    <t>0138000100640</t>
  </si>
  <si>
    <t>ORD-202610-100641</t>
  </si>
  <si>
    <t>0138000100641</t>
  </si>
  <si>
    <t>ORD-202610-100642</t>
  </si>
  <si>
    <t>0138000100642</t>
  </si>
  <si>
    <t>ORD-202610-100643</t>
  </si>
  <si>
    <t>0138000100643</t>
  </si>
  <si>
    <t>ORD-202610-100644</t>
  </si>
  <si>
    <t>0138000100644</t>
  </si>
  <si>
    <t>ORD-202610-100645</t>
  </si>
  <si>
    <t>0138000100645</t>
  </si>
  <si>
    <t>ORD-202610-100646</t>
  </si>
  <si>
    <t>0138000100646</t>
  </si>
  <si>
    <t>ORD-202610-100647</t>
  </si>
  <si>
    <t>0138000100647</t>
  </si>
  <si>
    <t>ORD-202610-100648</t>
  </si>
  <si>
    <t>0138000100648</t>
  </si>
  <si>
    <t>ORD-202610-100649</t>
  </si>
  <si>
    <t>0138000100649</t>
  </si>
  <si>
    <t>ORD-202610-100650</t>
  </si>
  <si>
    <t>0138000100650</t>
  </si>
  <si>
    <t>ORD-202610-100651</t>
  </si>
  <si>
    <t>0138000100651</t>
  </si>
  <si>
    <t>ORD-202610-100652</t>
  </si>
  <si>
    <t>0138000100652</t>
  </si>
  <si>
    <t>ORD-202610-100653</t>
  </si>
  <si>
    <t>0138000100653</t>
  </si>
  <si>
    <t>ORD-202610-100654</t>
  </si>
  <si>
    <t>0138000100654</t>
  </si>
  <si>
    <t>ORD-202610-100655</t>
  </si>
  <si>
    <t>0138000100655</t>
  </si>
  <si>
    <t>ORD-202610-100656</t>
  </si>
  <si>
    <t>0138000100656</t>
  </si>
  <si>
    <t>ORD-202610-100657</t>
  </si>
  <si>
    <t>0138000100657</t>
  </si>
  <si>
    <t>ORD-202610-100658</t>
  </si>
  <si>
    <t>0138000100658</t>
  </si>
  <si>
    <t>ORD-202610-100659</t>
  </si>
  <si>
    <t>0138000100659</t>
  </si>
  <si>
    <t>ORD-202610-100660</t>
  </si>
  <si>
    <t>0138000100660</t>
  </si>
  <si>
    <t>ORD-202610-100661</t>
  </si>
  <si>
    <t>0138000100661</t>
  </si>
  <si>
    <t>ORD-202610-100662</t>
  </si>
  <si>
    <t>0138000100662</t>
  </si>
  <si>
    <t>ORD-202610-100663</t>
  </si>
  <si>
    <t>0138000100663</t>
  </si>
  <si>
    <t>ORD-202610-100664</t>
  </si>
  <si>
    <t>0138000100664</t>
  </si>
  <si>
    <t>ORD-202610-100665</t>
  </si>
  <si>
    <t>0138000100665</t>
  </si>
  <si>
    <t>ORD-202610-100666</t>
  </si>
  <si>
    <t>0138000100666</t>
  </si>
  <si>
    <t>ORD-202610-100667</t>
  </si>
  <si>
    <t>0138000100667</t>
  </si>
  <si>
    <t>ORD-202610-100668</t>
  </si>
  <si>
    <t>0138000100668</t>
  </si>
  <si>
    <t>ORD-202610-100669</t>
  </si>
  <si>
    <t>0138000100669</t>
  </si>
  <si>
    <t>ORD-202610-100670</t>
  </si>
  <si>
    <t>0138000100670</t>
  </si>
  <si>
    <t>ORD-202610-100671</t>
  </si>
  <si>
    <t>0138000100671</t>
  </si>
  <si>
    <t>ORD-202610-100672</t>
  </si>
  <si>
    <t>0138000100672</t>
  </si>
  <si>
    <t>ORD-202610-100673</t>
  </si>
  <si>
    <t>0138000100673</t>
  </si>
  <si>
    <t>ORD-202610-100674</t>
  </si>
  <si>
    <t>0138000100674</t>
  </si>
  <si>
    <t>ORD-202610-100675</t>
  </si>
  <si>
    <t>0138000100675</t>
  </si>
  <si>
    <t>ORD-202610-100676</t>
  </si>
  <si>
    <t>0138000100676</t>
  </si>
  <si>
    <t>ORD-202610-100677</t>
  </si>
  <si>
    <t>0138000100677</t>
  </si>
  <si>
    <t>ORD-202610-100678</t>
  </si>
  <si>
    <t>0138000100678</t>
  </si>
  <si>
    <t>ORD-202610-100679</t>
  </si>
  <si>
    <t>0138000100679</t>
  </si>
  <si>
    <t>ORD-202610-100680</t>
  </si>
  <si>
    <t>0138000100680</t>
  </si>
  <si>
    <t>ORD-202610-100681</t>
  </si>
  <si>
    <t>0138000100681</t>
  </si>
  <si>
    <t>ORD-202610-100682</t>
  </si>
  <si>
    <t>0138000100682</t>
  </si>
  <si>
    <t>ORD-202610-100683</t>
  </si>
  <si>
    <t>0138000100683</t>
  </si>
  <si>
    <t>ORD-202610-100684</t>
  </si>
  <si>
    <t>0138000100684</t>
  </si>
  <si>
    <t>ORD-202610-100685</t>
  </si>
  <si>
    <t>0138000100685</t>
  </si>
  <si>
    <t>ORD-202610-100686</t>
  </si>
  <si>
    <t>0138000100686</t>
  </si>
  <si>
    <t>ORD-202610-100687</t>
  </si>
  <si>
    <t>0138000100687</t>
  </si>
  <si>
    <t>ORD-202610-100688</t>
  </si>
  <si>
    <t>0138000100688</t>
  </si>
  <si>
    <t>ORD-202610-100689</t>
  </si>
  <si>
    <t>0138000100689</t>
  </si>
  <si>
    <t>ORD-202610-100690</t>
  </si>
  <si>
    <t>0138000100690</t>
  </si>
  <si>
    <t>ORD-202610-100691</t>
  </si>
  <si>
    <t>0138000100691</t>
  </si>
  <si>
    <t>ORD-202610-100692</t>
  </si>
  <si>
    <t>0138000100692</t>
  </si>
  <si>
    <t>ORD-202610-100693</t>
  </si>
  <si>
    <t>0138000100693</t>
  </si>
  <si>
    <t>ORD-202610-100694</t>
  </si>
  <si>
    <t>0138000100694</t>
  </si>
  <si>
    <t>ORD-202610-100695</t>
  </si>
  <si>
    <t>0138000100695</t>
  </si>
  <si>
    <t>ORD-202610-100696</t>
  </si>
  <si>
    <t>0138000100696</t>
  </si>
  <si>
    <t>ORD-202610-100697</t>
  </si>
  <si>
    <t>0138000100697</t>
  </si>
  <si>
    <t>ORD-202610-100698</t>
  </si>
  <si>
    <t>0138000100698</t>
  </si>
  <si>
    <t>ORD-202610-100699</t>
  </si>
  <si>
    <t>0138000100699</t>
  </si>
  <si>
    <t>ORD-202610-100700</t>
  </si>
  <si>
    <t>0138000100700</t>
  </si>
  <si>
    <t>ORD-202610-100701</t>
  </si>
  <si>
    <t>0138000100701</t>
  </si>
  <si>
    <t>ORD-202610-100702</t>
  </si>
  <si>
    <t>0138000100702</t>
  </si>
  <si>
    <t>ORD-202610-100703</t>
  </si>
  <si>
    <t>0138000100703</t>
  </si>
  <si>
    <t>ORD-202610-100704</t>
  </si>
  <si>
    <t>0138000100704</t>
  </si>
  <si>
    <t>ORD-202610-100705</t>
  </si>
  <si>
    <t>0138000100705</t>
  </si>
  <si>
    <t>ORD-202610-100706</t>
  </si>
  <si>
    <t>0138000100706</t>
  </si>
  <si>
    <t>ORD-202610-100707</t>
  </si>
  <si>
    <t>0138000100707</t>
  </si>
  <si>
    <t>ORD-202610-100708</t>
  </si>
  <si>
    <t>0138000100708</t>
  </si>
  <si>
    <t>ORD-202610-100709</t>
  </si>
  <si>
    <t>0138000100709</t>
  </si>
  <si>
    <t>ORD-202610-100710</t>
  </si>
  <si>
    <t>0138000100710</t>
  </si>
  <si>
    <t>ORD-202610-100711</t>
  </si>
  <si>
    <t>0138000100711</t>
  </si>
  <si>
    <t>ORD-202610-100712</t>
  </si>
  <si>
    <t>0138000100712</t>
  </si>
  <si>
    <t>ORD-202610-100713</t>
  </si>
  <si>
    <t>0138000100713</t>
  </si>
  <si>
    <t>ORD-202610-100714</t>
  </si>
  <si>
    <t>0138000100714</t>
  </si>
  <si>
    <t>ORD-202610-100715</t>
  </si>
  <si>
    <t>0138000100715</t>
  </si>
  <si>
    <t>ORD-202610-100716</t>
  </si>
  <si>
    <t>0138000100716</t>
  </si>
  <si>
    <t>ORD-202610-100717</t>
  </si>
  <si>
    <t>0138000100717</t>
  </si>
  <si>
    <t>ORD-202610-100718</t>
  </si>
  <si>
    <t>0138000100718</t>
  </si>
  <si>
    <t>ORD-202610-100719</t>
  </si>
  <si>
    <t>0138000100719</t>
  </si>
  <si>
    <t>ORD-202610-100720</t>
  </si>
  <si>
    <t>0138000100720</t>
  </si>
  <si>
    <t>ORD-202610-100721</t>
  </si>
  <si>
    <t>0138000100721</t>
  </si>
  <si>
    <t>ORD-202610-100722</t>
  </si>
  <si>
    <t>0138000100722</t>
  </si>
  <si>
    <t>ORD-202610-100723</t>
  </si>
  <si>
    <t>0138000100723</t>
  </si>
  <si>
    <t>ORD-202610-100724</t>
  </si>
  <si>
    <t>0138000100724</t>
  </si>
  <si>
    <t>ORD-202610-100725</t>
  </si>
  <si>
    <t>0138000100725</t>
  </si>
  <si>
    <t>ORD-202610-100726</t>
  </si>
  <si>
    <t>0138000100726</t>
  </si>
  <si>
    <t>ORD-202610-100727</t>
  </si>
  <si>
    <t>0138000100727</t>
  </si>
  <si>
    <t>ORD-202610-100728</t>
  </si>
  <si>
    <t>0138000100728</t>
  </si>
  <si>
    <t>ORD-202610-100729</t>
  </si>
  <si>
    <t>0138000100729</t>
  </si>
  <si>
    <t>ORD-202610-100730</t>
  </si>
  <si>
    <t>0138000100730</t>
  </si>
  <si>
    <t>ORD-202610-100731</t>
  </si>
  <si>
    <t>0138000100731</t>
  </si>
  <si>
    <t>ORD-202610-100732</t>
  </si>
  <si>
    <t>0138000100732</t>
  </si>
  <si>
    <t>ORD-202610-100733</t>
  </si>
  <si>
    <t>0138000100733</t>
  </si>
  <si>
    <t>ORD-202610-100734</t>
  </si>
  <si>
    <t>0138000100734</t>
  </si>
  <si>
    <t>ORD-202610-100735</t>
  </si>
  <si>
    <t>0138000100735</t>
  </si>
  <si>
    <t>ORD-202610-100736</t>
  </si>
  <si>
    <t>0138000100736</t>
  </si>
  <si>
    <t>ORD-202610-100737</t>
  </si>
  <si>
    <t>0138000100737</t>
  </si>
  <si>
    <t>ORD-202610-100738</t>
  </si>
  <si>
    <t>0138000100738</t>
  </si>
  <si>
    <t>ORD-202610-100739</t>
  </si>
  <si>
    <t>0138000100739</t>
  </si>
  <si>
    <t>ORD-202610-100740</t>
  </si>
  <si>
    <t>0138000100740</t>
  </si>
  <si>
    <t>ORD-202610-100741</t>
  </si>
  <si>
    <t>0138000100741</t>
  </si>
  <si>
    <t>ORD-202610-100742</t>
  </si>
  <si>
    <t>0138000100742</t>
  </si>
  <si>
    <t>ORD-202610-100743</t>
  </si>
  <si>
    <t>0138000100743</t>
  </si>
  <si>
    <t>ORD-202610-100744</t>
  </si>
  <si>
    <t>0138000100744</t>
  </si>
  <si>
    <t>ORD-202610-100745</t>
  </si>
  <si>
    <t>0138000100745</t>
  </si>
  <si>
    <t>ORD-202610-100746</t>
  </si>
  <si>
    <t>0138000100746</t>
  </si>
  <si>
    <t>ORD-202610-100747</t>
  </si>
  <si>
    <t>0138000100747</t>
  </si>
  <si>
    <t>ORD-202610-100748</t>
  </si>
  <si>
    <t>0138000100748</t>
  </si>
  <si>
    <t>ORD-202610-100749</t>
  </si>
  <si>
    <t>0138000100749</t>
  </si>
  <si>
    <t>ORD-202610-100750</t>
  </si>
  <si>
    <t>0138000100750</t>
  </si>
  <si>
    <t>ORD-202610-100751</t>
  </si>
  <si>
    <t>0138000100751</t>
  </si>
  <si>
    <t>ORD-202610-100752</t>
  </si>
  <si>
    <t>0138000100752</t>
  </si>
  <si>
    <t>ORD-202610-100753</t>
  </si>
  <si>
    <t>0138000100753</t>
  </si>
  <si>
    <t>ORD-202610-100754</t>
  </si>
  <si>
    <t>0138000100754</t>
  </si>
  <si>
    <t>ORD-202610-100755</t>
  </si>
  <si>
    <t>0138000100755</t>
  </si>
  <si>
    <t>ORD-202610-100756</t>
  </si>
  <si>
    <t>0138000100756</t>
  </si>
  <si>
    <t>ORD-202610-100757</t>
  </si>
  <si>
    <t>0138000100757</t>
  </si>
  <si>
    <t>ORD-202610-100758</t>
  </si>
  <si>
    <t>0138000100758</t>
  </si>
  <si>
    <t>ORD-202610-100759</t>
  </si>
  <si>
    <t>0138000100759</t>
  </si>
  <si>
    <t>ORD-202610-100760</t>
  </si>
  <si>
    <t>0138000100760</t>
  </si>
  <si>
    <t>ORD-202610-100761</t>
  </si>
  <si>
    <t>0138000100761</t>
  </si>
  <si>
    <t>ORD-202610-100762</t>
  </si>
  <si>
    <t>0138000100762</t>
  </si>
  <si>
    <t>ORD-202610-100763</t>
  </si>
  <si>
    <t>0138000100763</t>
  </si>
  <si>
    <t>ORD-202610-100764</t>
  </si>
  <si>
    <t>0138000100764</t>
  </si>
  <si>
    <t>ORD-202610-100765</t>
  </si>
  <si>
    <t>0138000100765</t>
  </si>
  <si>
    <t>ORD-202610-100766</t>
  </si>
  <si>
    <t>0138000100766</t>
  </si>
  <si>
    <t>ORD-202610-100767</t>
  </si>
  <si>
    <t>0138000100767</t>
  </si>
  <si>
    <t>ORD-202610-100768</t>
  </si>
  <si>
    <t>0138000100768</t>
  </si>
  <si>
    <t>ORD-202610-100769</t>
  </si>
  <si>
    <t>0138000100769</t>
  </si>
  <si>
    <t>ORD-202610-100770</t>
  </si>
  <si>
    <t>0138000100770</t>
  </si>
  <si>
    <t>ORD-202610-100771</t>
  </si>
  <si>
    <t>0138000100771</t>
  </si>
  <si>
    <t>ORD-202610-100772</t>
  </si>
  <si>
    <t>0138000100772</t>
  </si>
  <si>
    <t>ORD-202610-100773</t>
  </si>
  <si>
    <t>0138000100773</t>
  </si>
  <si>
    <t>ORD-202610-100774</t>
  </si>
  <si>
    <t>0138000100774</t>
  </si>
  <si>
    <t>ORD-202610-100775</t>
  </si>
  <si>
    <t>0138000100775</t>
  </si>
  <si>
    <t>ORD-202610-100776</t>
  </si>
  <si>
    <t>0138000100776</t>
  </si>
  <si>
    <t>ORD-202610-100777</t>
  </si>
  <si>
    <t>0138000100777</t>
  </si>
  <si>
    <t>ORD-202610-100778</t>
  </si>
  <si>
    <t>0138000100778</t>
  </si>
  <si>
    <t>ORD-202610-100779</t>
  </si>
  <si>
    <t>0138000100779</t>
  </si>
  <si>
    <t>ORD-202610-100780</t>
  </si>
  <si>
    <t>0138000100780</t>
  </si>
  <si>
    <t>ORD-202610-100781</t>
  </si>
  <si>
    <t>0138000100781</t>
  </si>
  <si>
    <t>ORD-202610-100782</t>
  </si>
  <si>
    <t>0138000100782</t>
  </si>
  <si>
    <t>ORD-202610-100783</t>
  </si>
  <si>
    <t>0138000100783</t>
  </si>
  <si>
    <t>ORD-202610-100784</t>
  </si>
  <si>
    <t>0138000100784</t>
  </si>
  <si>
    <t>ORD-202610-100785</t>
  </si>
  <si>
    <t>0138000100785</t>
  </si>
  <si>
    <t>ORD-202610-100786</t>
  </si>
  <si>
    <t>0138000100786</t>
  </si>
  <si>
    <t>ORD-202610-100787</t>
  </si>
  <si>
    <t>0138000100787</t>
  </si>
  <si>
    <t>ORD-202610-100788</t>
  </si>
  <si>
    <t>0138000100788</t>
  </si>
  <si>
    <t>ORD-202610-100789</t>
  </si>
  <si>
    <t>0138000100789</t>
  </si>
  <si>
    <t>ORD-202610-100790</t>
  </si>
  <si>
    <t>0138000100790</t>
  </si>
  <si>
    <t>ORD-202610-100791</t>
  </si>
  <si>
    <t>0138000100791</t>
  </si>
  <si>
    <t>ORD-202610-100792</t>
  </si>
  <si>
    <t>0138000100792</t>
  </si>
  <si>
    <t>ORD-202610-100793</t>
  </si>
  <si>
    <t>0138000100793</t>
  </si>
  <si>
    <t>ORD-202610-100794</t>
  </si>
  <si>
    <t>0138000100794</t>
  </si>
  <si>
    <t>ORD-202610-100795</t>
  </si>
  <si>
    <t>0138000100795</t>
  </si>
  <si>
    <t>ORD-202610-100796</t>
  </si>
  <si>
    <t>0138000100796</t>
  </si>
  <si>
    <t>ORD-202610-100797</t>
  </si>
  <si>
    <t>0138000100797</t>
  </si>
  <si>
    <t>ORD-202610-100798</t>
  </si>
  <si>
    <t>0138000100798</t>
  </si>
  <si>
    <t>ORD-202610-100799</t>
  </si>
  <si>
    <t>0138000100799</t>
  </si>
  <si>
    <t>ORD-202610-100800</t>
  </si>
  <si>
    <t>0138000100800</t>
  </si>
  <si>
    <t>ORD-202610-100801</t>
  </si>
  <si>
    <t>0138000100801</t>
  </si>
  <si>
    <t>ORD-202610-100802</t>
  </si>
  <si>
    <t>0138000100802</t>
  </si>
  <si>
    <t>ORD-202610-100803</t>
  </si>
  <si>
    <t>0138000100803</t>
  </si>
  <si>
    <t>ORD-202610-100804</t>
  </si>
  <si>
    <t>0138000100804</t>
  </si>
  <si>
    <t>ORD-202610-100805</t>
  </si>
  <si>
    <t>0138000100805</t>
  </si>
  <si>
    <t>ORD-202610-100806</t>
  </si>
  <si>
    <t>0138000100806</t>
  </si>
  <si>
    <t>ORD-202610-100807</t>
  </si>
  <si>
    <t>0138000100807</t>
  </si>
  <si>
    <t>ORD-202610-100808</t>
  </si>
  <si>
    <t>0138000100808</t>
  </si>
  <si>
    <t>ORD-202610-100809</t>
  </si>
  <si>
    <t>0138000100809</t>
  </si>
  <si>
    <t>ORD-202610-100810</t>
  </si>
  <si>
    <t>0138000100810</t>
  </si>
  <si>
    <t>ORD-202610-100811</t>
  </si>
  <si>
    <t>0138000100811</t>
  </si>
  <si>
    <t>ORD-202610-100812</t>
  </si>
  <si>
    <t>0138000100812</t>
  </si>
  <si>
    <t>ORD-202610-100813</t>
  </si>
  <si>
    <t>0138000100813</t>
  </si>
  <si>
    <t>ORD-202610-100814</t>
  </si>
  <si>
    <t>0138000100814</t>
  </si>
  <si>
    <t>ORD-202610-100815</t>
  </si>
  <si>
    <t>0138000100815</t>
  </si>
  <si>
    <t>ORD-202610-100816</t>
  </si>
  <si>
    <t>0138000100816</t>
  </si>
  <si>
    <t>ORD-202610-100817</t>
  </si>
  <si>
    <t>0138000100817</t>
  </si>
  <si>
    <t>ORD-202610-100818</t>
  </si>
  <si>
    <t>0138000100818</t>
  </si>
  <si>
    <t>ORD-202610-100819</t>
  </si>
  <si>
    <t>0138000100819</t>
  </si>
  <si>
    <t>ORD-202610-100820</t>
  </si>
  <si>
    <t>0138000100820</t>
  </si>
  <si>
    <t>ORD-202610-100821</t>
  </si>
  <si>
    <t>0138000100821</t>
  </si>
  <si>
    <t>ORD-202610-100822</t>
  </si>
  <si>
    <t>0138000100822</t>
  </si>
  <si>
    <t>ORD-202610-100823</t>
  </si>
  <si>
    <t>0138000100823</t>
  </si>
  <si>
    <t>ORD-202610-100824</t>
  </si>
  <si>
    <t>0138000100824</t>
  </si>
  <si>
    <t>ORD-202610-100825</t>
  </si>
  <si>
    <t>0138000100825</t>
  </si>
  <si>
    <t>ORD-202610-100826</t>
  </si>
  <si>
    <t>0138000100826</t>
  </si>
  <si>
    <t>ORD-202610-100827</t>
  </si>
  <si>
    <t>0138000100827</t>
  </si>
  <si>
    <t>ORD-202610-100828</t>
  </si>
  <si>
    <t>0138000100828</t>
  </si>
  <si>
    <t>ORD-202610-100829</t>
  </si>
  <si>
    <t>0138000100829</t>
  </si>
  <si>
    <t>ORD-202610-100830</t>
  </si>
  <si>
    <t>0138000100830</t>
  </si>
  <si>
    <t>ORD-202610-100831</t>
  </si>
  <si>
    <t>0138000100831</t>
  </si>
  <si>
    <t>ORD-202610-100832</t>
  </si>
  <si>
    <t>0138000100832</t>
  </si>
  <si>
    <t>ORD-202610-100833</t>
  </si>
  <si>
    <t>0138000100833</t>
  </si>
  <si>
    <t>ORD-202610-100834</t>
  </si>
  <si>
    <t>0138000100834</t>
  </si>
  <si>
    <t>ORD-202610-100835</t>
  </si>
  <si>
    <t>0138000100835</t>
  </si>
  <si>
    <t>ORD-202610-100836</t>
  </si>
  <si>
    <t>0138000100836</t>
  </si>
  <si>
    <t>ORD-202610-100837</t>
  </si>
  <si>
    <t>0138000100837</t>
  </si>
  <si>
    <t>ORD-202610-100838</t>
  </si>
  <si>
    <t>0138000100838</t>
  </si>
  <si>
    <t>ORD-202610-100839</t>
  </si>
  <si>
    <t>0138000100839</t>
  </si>
  <si>
    <t>ORD-202610-100840</t>
  </si>
  <si>
    <t>0138000100840</t>
  </si>
  <si>
    <t>ORD-202610-100841</t>
  </si>
  <si>
    <t>0138000100841</t>
  </si>
  <si>
    <t>ORD-202610-100842</t>
  </si>
  <si>
    <t>0138000100842</t>
  </si>
  <si>
    <t>ORD-202610-100843</t>
  </si>
  <si>
    <t>0138000100843</t>
  </si>
  <si>
    <t>ORD-202610-100844</t>
  </si>
  <si>
    <t>0138000100844</t>
  </si>
  <si>
    <t>ORD-202610-100845</t>
  </si>
  <si>
    <t>0138000100845</t>
  </si>
  <si>
    <t>ORD-202610-100846</t>
  </si>
  <si>
    <t>0138000100846</t>
  </si>
  <si>
    <t>ORD-202610-100847</t>
  </si>
  <si>
    <t>0138000100847</t>
  </si>
  <si>
    <t>ORD-202610-100848</t>
  </si>
  <si>
    <t>0138000100848</t>
  </si>
  <si>
    <t>ORD-202610-100849</t>
  </si>
  <si>
    <t>0138000100849</t>
  </si>
  <si>
    <t>ORD-202610-100850</t>
  </si>
  <si>
    <t>0138000100850</t>
  </si>
  <si>
    <t>ORD-202610-100851</t>
  </si>
  <si>
    <t>0138000100851</t>
  </si>
  <si>
    <t>ORD-202610-100852</t>
  </si>
  <si>
    <t>0138000100852</t>
  </si>
  <si>
    <t>ORD-202610-100853</t>
  </si>
  <si>
    <t>0138000100853</t>
  </si>
  <si>
    <t>ORD-202610-100854</t>
  </si>
  <si>
    <t>0138000100854</t>
  </si>
  <si>
    <t>ORD-202610-100855</t>
  </si>
  <si>
    <t>0138000100855</t>
  </si>
  <si>
    <t>ORD-202610-100856</t>
  </si>
  <si>
    <t>0138000100856</t>
  </si>
  <si>
    <t>ORD-202610-100857</t>
  </si>
  <si>
    <t>0138000100857</t>
  </si>
  <si>
    <t>ORD-202610-100858</t>
  </si>
  <si>
    <t>0138000100858</t>
  </si>
  <si>
    <t>ORD-202610-100859</t>
  </si>
  <si>
    <t>0138000100859</t>
  </si>
  <si>
    <t>ORD-202610-100860</t>
  </si>
  <si>
    <t>0138000100860</t>
  </si>
  <si>
    <t>ORD-202610-100861</t>
  </si>
  <si>
    <t>0138000100861</t>
  </si>
  <si>
    <t>ORD-202610-100862</t>
  </si>
  <si>
    <t>0138000100862</t>
  </si>
  <si>
    <t>ORD-202610-100863</t>
  </si>
  <si>
    <t>0138000100863</t>
  </si>
  <si>
    <t>ORD-202610-100864</t>
  </si>
  <si>
    <t>0138000100864</t>
  </si>
  <si>
    <t>ORD-202610-100865</t>
  </si>
  <si>
    <t>0138000100865</t>
  </si>
  <si>
    <t>ORD-202610-100866</t>
  </si>
  <si>
    <t>0138000100866</t>
  </si>
  <si>
    <t>ORD-202610-100867</t>
  </si>
  <si>
    <t>0138000100867</t>
  </si>
  <si>
    <t>ORD-202610-100868</t>
  </si>
  <si>
    <t>0138000100868</t>
  </si>
  <si>
    <t>ORD-202610-100869</t>
  </si>
  <si>
    <t>0138000100869</t>
  </si>
  <si>
    <t>ORD-202610-100870</t>
  </si>
  <si>
    <t>0138000100870</t>
  </si>
  <si>
    <t>ORD-202610-100871</t>
  </si>
  <si>
    <t>0138000100871</t>
  </si>
  <si>
    <t>ORD-202610-100872</t>
  </si>
  <si>
    <t>0138000100872</t>
  </si>
  <si>
    <t>ORD-202610-100873</t>
  </si>
  <si>
    <t>0138000100873</t>
  </si>
  <si>
    <t>ORD-202610-100874</t>
  </si>
  <si>
    <t>0138000100874</t>
  </si>
  <si>
    <t>ORD-202610-100875</t>
  </si>
  <si>
    <t>0138000100875</t>
  </si>
  <si>
    <t>ORD-202610-100876</t>
  </si>
  <si>
    <t>0138000100876</t>
  </si>
  <si>
    <t>ORD-202610-100877</t>
  </si>
  <si>
    <t>0138000100877</t>
  </si>
  <si>
    <t>ORD-202610-100878</t>
  </si>
  <si>
    <t>0138000100878</t>
  </si>
  <si>
    <t>ORD-202610-100879</t>
  </si>
  <si>
    <t>0138000100879</t>
  </si>
  <si>
    <t>ORD-202610-100880</t>
  </si>
  <si>
    <t>0138000100880</t>
  </si>
  <si>
    <t>ORD-202610-100881</t>
  </si>
  <si>
    <t>0138000100881</t>
  </si>
  <si>
    <t>ORD-202610-100882</t>
  </si>
  <si>
    <t>0138000100882</t>
  </si>
  <si>
    <t>ORD-202610-100883</t>
  </si>
  <si>
    <t>0138000100883</t>
  </si>
  <si>
    <t>ORD-202610-100884</t>
  </si>
  <si>
    <t>0138000100884</t>
  </si>
  <si>
    <t>ORD-202610-100885</t>
  </si>
  <si>
    <t>0138000100885</t>
  </si>
  <si>
    <t>ORD-202610-100886</t>
  </si>
  <si>
    <t>0138000100886</t>
  </si>
  <si>
    <t>ORD-202610-100887</t>
  </si>
  <si>
    <t>0138000100887</t>
  </si>
  <si>
    <t>ORD-202610-100888</t>
  </si>
  <si>
    <t>0138000100888</t>
  </si>
  <si>
    <t>ORD-202610-100889</t>
  </si>
  <si>
    <t>0138000100889</t>
  </si>
  <si>
    <t>ORD-202610-100890</t>
  </si>
  <si>
    <t>0138000100890</t>
  </si>
  <si>
    <t>ORD-202610-100891</t>
  </si>
  <si>
    <t>0138000100891</t>
  </si>
  <si>
    <t>ORD-202610-100892</t>
  </si>
  <si>
    <t>0138000100892</t>
  </si>
  <si>
    <t>ORD-202610-100893</t>
  </si>
  <si>
    <t>0138000100893</t>
  </si>
  <si>
    <t>ORD-202610-100894</t>
  </si>
  <si>
    <t>0138000100894</t>
  </si>
  <si>
    <t>ORD-202610-100895</t>
  </si>
  <si>
    <t>0138000100895</t>
  </si>
  <si>
    <t>ORD-202610-100896</t>
  </si>
  <si>
    <t>0138000100896</t>
  </si>
  <si>
    <t>ORD-202610-100897</t>
  </si>
  <si>
    <t>0138000100897</t>
  </si>
  <si>
    <t>ORD-202610-100898</t>
  </si>
  <si>
    <t>0138000100898</t>
  </si>
  <si>
    <t>ORD-202610-100899</t>
  </si>
  <si>
    <t>0138000100899</t>
  </si>
  <si>
    <t>ORD-202610-100900</t>
  </si>
  <si>
    <t>0138000100900</t>
  </si>
  <si>
    <t>ORD-202610-100901</t>
  </si>
  <si>
    <t>0138000100901</t>
  </si>
  <si>
    <t>ORD-202610-100902</t>
  </si>
  <si>
    <t>0138000100902</t>
  </si>
  <si>
    <t>ORD-202610-100903</t>
  </si>
  <si>
    <t>0138000100903</t>
  </si>
  <si>
    <t>ORD-202610-100904</t>
  </si>
  <si>
    <t>0138000100904</t>
  </si>
  <si>
    <t>ORD-202610-100905</t>
  </si>
  <si>
    <t>0138000100905</t>
  </si>
  <si>
    <t>ORD-202610-100906</t>
  </si>
  <si>
    <t>0138000100906</t>
  </si>
  <si>
    <t>ORD-202610-100907</t>
  </si>
  <si>
    <t>0138000100907</t>
  </si>
  <si>
    <t>ORD-202610-100908</t>
  </si>
  <si>
    <t>0138000100908</t>
  </si>
  <si>
    <t>ORD-202610-100909</t>
  </si>
  <si>
    <t>0138000100909</t>
  </si>
  <si>
    <t>ORD-202610-100910</t>
  </si>
  <si>
    <t>0138000100910</t>
  </si>
  <si>
    <t>ORD-202610-100911</t>
  </si>
  <si>
    <t>0138000100911</t>
  </si>
  <si>
    <t>ORD-202610-100912</t>
  </si>
  <si>
    <t>0138000100912</t>
  </si>
  <si>
    <t>ORD-202610-100913</t>
  </si>
  <si>
    <t>0138000100913</t>
  </si>
  <si>
    <t>ORD-202610-100914</t>
  </si>
  <si>
    <t>0138000100914</t>
  </si>
  <si>
    <t>ORD-202610-100915</t>
  </si>
  <si>
    <t>0138000100915</t>
  </si>
  <si>
    <t>ORD-202610-100916</t>
  </si>
  <si>
    <t>0138000100916</t>
  </si>
  <si>
    <t>ORD-202610-100917</t>
  </si>
  <si>
    <t>0138000100917</t>
  </si>
  <si>
    <t>ORD-202610-100918</t>
  </si>
  <si>
    <t>0138000100918</t>
  </si>
  <si>
    <t>ORD-202610-100919</t>
  </si>
  <si>
    <t>0138000100919</t>
  </si>
  <si>
    <t>ORD-202610-100920</t>
  </si>
  <si>
    <t>0138000100920</t>
  </si>
  <si>
    <t>ORD-202610-100921</t>
  </si>
  <si>
    <t>0138000100921</t>
  </si>
  <si>
    <t>ORD-202610-100922</t>
  </si>
  <si>
    <t>0138000100922</t>
  </si>
  <si>
    <t>ORD-202610-100923</t>
  </si>
  <si>
    <t>0138000100923</t>
  </si>
  <si>
    <t>ORD-202610-100924</t>
  </si>
  <si>
    <t>0138000100924</t>
  </si>
  <si>
    <t>ORD-202610-100925</t>
  </si>
  <si>
    <t>0138000100925</t>
  </si>
  <si>
    <t>ORD-202610-100926</t>
  </si>
  <si>
    <t>0138000100926</t>
  </si>
  <si>
    <t>ORD-202610-100927</t>
  </si>
  <si>
    <t>0138000100927</t>
  </si>
  <si>
    <t>ORD-202610-100928</t>
  </si>
  <si>
    <t>0138000100928</t>
  </si>
  <si>
    <t>ORD-202610-100929</t>
  </si>
  <si>
    <t>0138000100929</t>
  </si>
  <si>
    <t>ORD-202610-100930</t>
  </si>
  <si>
    <t>0138000100930</t>
  </si>
  <si>
    <t>ORD-202610-100931</t>
  </si>
  <si>
    <t>0138000100931</t>
  </si>
  <si>
    <t>ORD-202610-100932</t>
  </si>
  <si>
    <t>0138000100932</t>
  </si>
  <si>
    <t>ORD-202610-100933</t>
  </si>
  <si>
    <t>0138000100933</t>
  </si>
  <si>
    <t>ORD-202610-100934</t>
  </si>
  <si>
    <t>0138000100934</t>
  </si>
  <si>
    <t>ORD-202610-100935</t>
  </si>
  <si>
    <t>0138000100935</t>
  </si>
  <si>
    <t>ORD-202610-100936</t>
  </si>
  <si>
    <t>0138000100936</t>
  </si>
  <si>
    <t>ORD-202610-100937</t>
  </si>
  <si>
    <t>0138000100937</t>
  </si>
  <si>
    <t>ORD-202610-100938</t>
  </si>
  <si>
    <t>0138000100938</t>
  </si>
  <si>
    <t>ORD-202610-100939</t>
  </si>
  <si>
    <t>0138000100939</t>
  </si>
  <si>
    <t>ORD-202610-100940</t>
  </si>
  <si>
    <t>0138000100940</t>
  </si>
  <si>
    <t>ORD-202610-100941</t>
  </si>
  <si>
    <t>0138000100941</t>
  </si>
  <si>
    <t>ORD-202610-100942</t>
  </si>
  <si>
    <t>0138000100942</t>
  </si>
  <si>
    <t>ORD-202610-100943</t>
  </si>
  <si>
    <t>0138000100943</t>
  </si>
  <si>
    <t>ORD-202610-100944</t>
  </si>
  <si>
    <t>0138000100944</t>
  </si>
  <si>
    <t>ORD-202610-100945</t>
  </si>
  <si>
    <t>0138000100945</t>
  </si>
  <si>
    <t>ORD-202610-100946</t>
  </si>
  <si>
    <t>0138000100946</t>
  </si>
  <si>
    <t>ORD-202610-100947</t>
  </si>
  <si>
    <t>0138000100947</t>
  </si>
  <si>
    <t>ORD-202610-100948</t>
  </si>
  <si>
    <t>0138000100948</t>
  </si>
  <si>
    <t>ORD-202610-100949</t>
  </si>
  <si>
    <t>0138000100949</t>
  </si>
  <si>
    <t>ORD-202610-100950</t>
  </si>
  <si>
    <t>0138000100950</t>
  </si>
  <si>
    <t>ORD-202610-100951</t>
  </si>
  <si>
    <t>0138000100951</t>
  </si>
  <si>
    <t>ORD-202610-100952</t>
  </si>
  <si>
    <t>0138000100952</t>
  </si>
  <si>
    <t>ORD-202610-100953</t>
  </si>
  <si>
    <t>0138000100953</t>
  </si>
  <si>
    <t>ORD-202610-100954</t>
  </si>
  <si>
    <t>0138000100954</t>
  </si>
  <si>
    <t>ORD-202610-100955</t>
  </si>
  <si>
    <t>0138000100955</t>
  </si>
  <si>
    <t>ORD-202610-100956</t>
  </si>
  <si>
    <t>0138000100956</t>
  </si>
  <si>
    <t>ORD-202610-100957</t>
  </si>
  <si>
    <t>0138000100957</t>
  </si>
  <si>
    <t>ORD-202610-100958</t>
  </si>
  <si>
    <t>0138000100958</t>
  </si>
  <si>
    <t>ORD-202610-100959</t>
  </si>
  <si>
    <t>0138000100959</t>
  </si>
  <si>
    <t>ORD-202610-100960</t>
  </si>
  <si>
    <t>0138000100960</t>
  </si>
  <si>
    <t>ORD-202610-100961</t>
  </si>
  <si>
    <t>0138000100961</t>
  </si>
  <si>
    <t>ORD-202610-100962</t>
  </si>
  <si>
    <t>0138000100962</t>
  </si>
  <si>
    <t>ORD-202610-100963</t>
  </si>
  <si>
    <t>0138000100963</t>
  </si>
  <si>
    <t>ORD-202610-100964</t>
  </si>
  <si>
    <t>0138000100964</t>
  </si>
  <si>
    <t>ORD-202610-100965</t>
  </si>
  <si>
    <t>0138000100965</t>
  </si>
  <si>
    <t>ORD-202610-100966</t>
  </si>
  <si>
    <t>0138000100966</t>
  </si>
  <si>
    <t>ORD-202610-100967</t>
  </si>
  <si>
    <t>0138000100967</t>
  </si>
  <si>
    <t>ORD-202610-100968</t>
  </si>
  <si>
    <t>0138000100968</t>
  </si>
  <si>
    <t>ORD-202610-100969</t>
  </si>
  <si>
    <t>0138000100969</t>
  </si>
  <si>
    <t>ORD-202610-100970</t>
  </si>
  <si>
    <t>0138000100970</t>
  </si>
  <si>
    <t>ORD-202610-100971</t>
  </si>
  <si>
    <t>0138000100971</t>
  </si>
  <si>
    <t>ORD-202610-100972</t>
  </si>
  <si>
    <t>0138000100972</t>
  </si>
  <si>
    <t>ORD-202610-100973</t>
  </si>
  <si>
    <t>0138000100973</t>
  </si>
  <si>
    <t>ORD-202610-100974</t>
  </si>
  <si>
    <t>0138000100974</t>
  </si>
  <si>
    <t>ORD-202610-100975</t>
  </si>
  <si>
    <t>0138000100975</t>
  </si>
  <si>
    <t>ORD-202610-100976</t>
  </si>
  <si>
    <t>0138000100976</t>
  </si>
  <si>
    <t>ORD-202610-100977</t>
  </si>
  <si>
    <t>0138000100977</t>
  </si>
  <si>
    <t>ORD-202610-100978</t>
  </si>
  <si>
    <t>0138000100978</t>
  </si>
  <si>
    <t>ORD-202610-100979</t>
  </si>
  <si>
    <t>0138000100979</t>
  </si>
  <si>
    <t>ORD-202610-100980</t>
  </si>
  <si>
    <t>0138000100980</t>
  </si>
  <si>
    <t>ORD-202610-100981</t>
  </si>
  <si>
    <t>0138000100981</t>
  </si>
  <si>
    <t>ORD-202610-100982</t>
  </si>
  <si>
    <t>0138000100982</t>
  </si>
  <si>
    <t>ORD-202610-100983</t>
  </si>
  <si>
    <t>0138000100983</t>
  </si>
  <si>
    <t>ORD-202610-100984</t>
  </si>
  <si>
    <t>0138000100984</t>
  </si>
  <si>
    <t>ORD-202610-100985</t>
  </si>
  <si>
    <t>0138000100985</t>
  </si>
  <si>
    <t>ORD-202610-100986</t>
  </si>
  <si>
    <t>0138000100986</t>
  </si>
  <si>
    <t>ORD-202610-100987</t>
  </si>
  <si>
    <t>0138000100987</t>
  </si>
  <si>
    <t>ORD-202610-100988</t>
  </si>
  <si>
    <t>0138000100988</t>
  </si>
  <si>
    <t>ORD-202610-100989</t>
  </si>
  <si>
    <t>0138000100989</t>
  </si>
  <si>
    <t>ORD-202610-100990</t>
  </si>
  <si>
    <t>0138000100990</t>
  </si>
  <si>
    <t>ORD-202610-100991</t>
  </si>
  <si>
    <t>0138000100991</t>
  </si>
  <si>
    <t>ORD-202610-100992</t>
  </si>
  <si>
    <t>0138000100992</t>
  </si>
  <si>
    <t>ORD-202610-100993</t>
  </si>
  <si>
    <t>0138000100993</t>
  </si>
  <si>
    <t>ORD-202610-100994</t>
  </si>
  <si>
    <t>0138000100994</t>
  </si>
  <si>
    <t>ORD-202610-100995</t>
  </si>
  <si>
    <t>0138000100995</t>
  </si>
  <si>
    <t>ORD-202610-100996</t>
  </si>
  <si>
    <t>0138000100996</t>
  </si>
  <si>
    <t>ORD-202610-100997</t>
  </si>
  <si>
    <t>0138000100997</t>
  </si>
  <si>
    <t>ORD-202610-100998</t>
  </si>
  <si>
    <t>0138000100998</t>
  </si>
  <si>
    <t>ORD-202610-100999</t>
  </si>
  <si>
    <t>0138000100999</t>
  </si>
  <si>
    <t>ORD-202610-101000</t>
  </si>
  <si>
    <t>0138000101000</t>
  </si>
  <si>
    <t>合计</t>
  </si>
  <si>
    <t>商品目录与库存</t>
  </si>
  <si>
    <t>名称</t>
  </si>
  <si>
    <t>库存</t>
  </si>
  <si>
    <t>在售</t>
  </si>
  <si>
    <t>说明</t>
  </si>
  <si>
    <t>仓库,需复核</t>
  </si>
  <si>
    <t>客户主数据</t>
  </si>
  <si>
    <t>地区</t>
  </si>
  <si>
    <t>等级</t>
  </si>
  <si>
    <t>注册日期</t>
  </si>
  <si>
    <t>启用</t>
  </si>
  <si>
    <t>0013800012345</t>
  </si>
  <si>
    <t>普通</t>
  </si>
  <si>
    <t>首选联系人
备用联系人</t>
  </si>
  <si>
    <t>VIP</t>
  </si>
  <si>
    <t>月度经营汇总</t>
  </si>
  <si>
    <t>指标</t>
  </si>
  <si>
    <t>数值</t>
  </si>
  <si>
    <t>口径</t>
  </si>
  <si>
    <t>订单数</t>
  </si>
  <si>
    <t>不含分隔空行</t>
  </si>
  <si>
    <t>含隐藏行</t>
  </si>
  <si>
    <t>已付款订单</t>
  </si>
  <si>
    <t>欠款金额</t>
  </si>
  <si>
    <t>数据字典与异常样例</t>
  </si>
  <si>
    <t>场景</t>
  </si>
  <si>
    <t>整数</t>
  </si>
  <si>
    <t>小数</t>
  </si>
  <si>
    <t>布尔</t>
  </si>
  <si>
    <t>文本</t>
  </si>
  <si>
    <t>错误</t>
  </si>
  <si>
    <t>日期</t>
  </si>
  <si>
    <t>负数与零</t>
  </si>
  <si>
    <t>00000</t>
  </si>
  <si>
    <t>异常计算</t>
  </si>
  <si>
    <t>待修复</t>
  </si>
  <si>
    <t>缺失关联</t>
  </si>
  <si>
    <t>客户,商品缺失</t>
  </si>
  <si>
    <t>非法值</t>
  </si>
  <si>
    <t>检查"类型"</t>
  </si>
  <si>
    <t>时间字段</t>
  </si>
  <si>
    <t>底层日期序列数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</si>
</sst>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2" x14ac:knownFonts="1">
    <font>
      <sz val="12"/>
      <color theme="1"/>
      <name val="Calibri"/>
      <family val="2"/>
      <scheme val="minor"/>
    </font>
    <font>
      <b val="true"/>
      <sz val="14"/>
      <color rgb="ff1f4e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false" applyFont="false" applyFill="false" applyBorder="false" applyAlignment="false" applyProtection="false" quotePrefix="false" pivotButton="false">
      <protection locked="false" hidden="false"/>
    </xf>
    <xf numFmtId="22" fontId="0" fillId="0" borderId="0" xfId="0" applyNumberFormat="false" applyFont="false" applyFill="false" applyBorder="false" applyAlignment="false" applyProtection="false" quotePrefix="false" pivotButton="false">
      <protection locked="false" hidden="false"/>
    </xf>
    <xf numFmtId="10" fontId="0" fillId="0" borderId="0" xfId="0" applyNumberFormat="false" applyFont="false" applyFill="false" applyBorder="false" applyAlignment="false" applyProtection="false" quotePrefix="false" pivotButton="false">
      <protection locked="false" hidden="false"/>
    </xf>
    <xf numFmtId="4" fontId="0" fillId="0" borderId="0" xfId="0" applyNumberFormat="false" applyFont="false" applyFill="false" applyBorder="false" applyAlignment="false" applyProtection="false" quotePrefix="false" pivotButton="false">
      <protection locked="false" hidden="fals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cols>
    <col min="1" max="1" width="28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 hidden="1"/>
    <col min="24" max="24" width="38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 hidden="1"/>
    <col min="30" max="30" width="20" customWidth="1"/>
    <col min="31" max="31" width="20" customWidth="1"/>
    <col min="32" max="32" width="20" customWidth="1"/>
  </cols>
  <sheetData>
    <row r="1" ht="30" customHeight="1">
      <c r="A1" t="s" s="1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t="s">
        <v>2</v>
      </c>
      <c r="B2" t="s">
        <v>3</v>
      </c>
    </row>
    <row r="3">
      <c r="A3" t="s" s="1">
        <v>4</v>
      </c>
      <c r="B3" t="s" s="1">
        <v>5</v>
      </c>
      <c r="C3" t="s" s="1">
        <v>6</v>
      </c>
      <c r="D3" t="s" s="1">
        <v>7</v>
      </c>
      <c r="E3" t="s" s="1">
        <v>8</v>
      </c>
      <c r="F3" t="s" s="1">
        <v>9</v>
      </c>
      <c r="G3" t="s" s="1">
        <v>10</v>
      </c>
      <c r="H3" t="s" s="1">
        <v>11</v>
      </c>
      <c r="I3" t="s" s="1">
        <v>12</v>
      </c>
      <c r="J3" t="s" s="1">
        <v>13</v>
      </c>
      <c r="K3" t="s" s="1">
        <v>14</v>
      </c>
      <c r="L3" t="s" s="1">
        <v>15</v>
      </c>
      <c r="M3" t="s" s="1">
        <v>16</v>
      </c>
      <c r="N3" t="s" s="1">
        <v>17</v>
      </c>
      <c r="O3" t="s" s="1">
        <v>18</v>
      </c>
      <c r="P3" t="s" s="1">
        <v>19</v>
      </c>
      <c r="Q3" t="s" s="1">
        <v>20</v>
      </c>
      <c r="R3" t="s" s="1">
        <v>21</v>
      </c>
      <c r="S3" t="s" s="1">
        <v>22</v>
      </c>
      <c r="T3" t="s" s="1">
        <v>23</v>
      </c>
      <c r="U3" t="s" s="1">
        <v>24</v>
      </c>
      <c r="V3" t="s" s="1">
        <v>25</v>
      </c>
      <c r="W3" t="s" s="1">
        <v>26</v>
      </c>
      <c r="X3" t="s" s="1">
        <v>27</v>
      </c>
      <c r="Y3" t="s" s="1">
        <v>28</v>
      </c>
      <c r="Z3" t="s" s="1">
        <v>29</v>
      </c>
      <c r="AA3" t="s" s="1">
        <v>30</v>
      </c>
      <c r="AB3" t="s" s="1">
        <v>31</v>
      </c>
      <c r="AC3" t="s" s="1">
        <v>32</v>
      </c>
      <c r="AD3" t="s" s="1">
        <v>33</v>
      </c>
      <c r="AE3" t="s" s="1">
        <v>34</v>
      </c>
      <c r="AF3" t="s" s="1">
        <v>35</v>
      </c>
    </row>
    <row r="4">
      <c r="A4" t="s">
        <v>36</v>
      </c>
      <c r="B4" s="2">
        <v>45900.5</v>
      </c>
      <c r="C4" t="s">
        <v>37</v>
      </c>
      <c r="D4" t="s">
        <f>'客户档案'!B3</f>
        <v>38</v>
      </c>
      <c r="E4" t="s">
        <v>39</v>
      </c>
      <c r="F4" t="s">
        <v>40</v>
      </c>
      <c r="G4" t="s">
        <f>'商品目录'!B3</f>
        <v>41</v>
      </c>
      <c r="H4" t="s">
        <v>42</v>
      </c>
      <c r="I4">
        <v>2</v>
      </c>
      <c r="J4" s="4">
        <v>99</v>
      </c>
      <c r="K4" s="4">
        <f>I4*J4</f>
        <v>198</v>
      </c>
      <c r="L4" s="3">
        <v>0</v>
      </c>
      <c r="M4" s="4">
        <f>K4*L4</f>
        <v>0</v>
      </c>
      <c r="N4" s="4">
        <v>0</v>
      </c>
      <c r="O4" s="4">
        <f>K4-M4+N4</f>
        <v>198</v>
      </c>
      <c r="P4" t="s">
        <v>43</v>
      </c>
      <c r="Q4" t="b">
        <v>0</v>
      </c>
      <c r="R4" t="s">
        <v>44</v>
      </c>
      <c r="S4" t="s">
        <v>45</v>
      </c>
      <c r="T4" t="s">
        <v>46</v>
      </c>
      <c r="U4" t="s">
        <v>39</v>
      </c>
      <c r="V4" t="s">
        <v>38</v>
      </c>
      <c r="W4" t="s">
        <v>47</v>
      </c>
      <c r="X4" t="s">
        <v>0</v>
      </c>
      <c r="Y4">
        <v>9007199254740993</v>
      </c>
      <c r="Z4">
        <v>2</v>
      </c>
      <c r="AA4" t="s">
        <v>38</v>
      </c>
      <c r="AB4" t="b">
        <v>0</v>
      </c>
      <c r="AD4" s="3">
        <v>0.125</v>
      </c>
      <c r="AE4" s="2">
        <v>45902.5</v>
      </c>
      <c r="AF4" t="e">
        <v>#N/A</v>
      </c>
    </row>
    <row r="5" hidden="1">
      <c r="A5" t="s">
        <v>48</v>
      </c>
      <c r="B5" s="2">
        <v>45901.5</v>
      </c>
      <c r="C5" t="s">
        <v>49</v>
      </c>
      <c r="D5" t="s">
        <f>'客户档案'!B4</f>
        <v>50</v>
      </c>
      <c r="E5" t="s">
        <v>51</v>
      </c>
      <c r="F5" t="s">
        <v>52</v>
      </c>
      <c r="G5" t="s">
        <f>'商品目录'!B4</f>
        <v>53</v>
      </c>
      <c r="H5" t="s">
        <v>54</v>
      </c>
      <c r="I5">
        <v>4</v>
      </c>
      <c r="J5" s="4">
        <v>129</v>
      </c>
      <c r="K5" s="4">
        <f>I5*J5</f>
        <v>516</v>
      </c>
      <c r="L5" s="3">
        <v>0.5</v>
      </c>
      <c r="M5" s="4">
        <f>K5*L5</f>
        <v>258</v>
      </c>
      <c r="N5" s="4">
        <v>10</v>
      </c>
      <c r="O5" s="4">
        <f>K5-M5+N5</f>
        <v>268</v>
      </c>
      <c r="P5" t="s">
        <v>43</v>
      </c>
      <c r="Q5" t="b">
        <v>1</v>
      </c>
      <c r="R5" t="s">
        <v>55</v>
      </c>
      <c r="S5" t="s">
        <v>56</v>
      </c>
      <c r="T5" t="s">
        <v>57</v>
      </c>
      <c r="U5" t="s">
        <v>51</v>
      </c>
      <c r="V5" t="s">
        <v>50</v>
      </c>
      <c r="W5" t="s">
        <v>58</v>
      </c>
      <c r="X5" t="s">
        <v>59</v>
      </c>
      <c r="Y5">
        <v>9007199254740994</v>
      </c>
      <c r="Z5">
        <v>0</v>
      </c>
      <c r="AA5" t="s">
        <v>50</v>
      </c>
      <c r="AB5" t="b">
        <v>1</v>
      </c>
      <c r="AD5" s="3">
        <v>0.125</v>
      </c>
      <c r="AE5" s="2">
        <v>45903.5</v>
      </c>
      <c r="AF5" t="s">
        <v>60</v>
      </c>
    </row>
    <row r="6">
      <c r="A6" t="s">
        <v>61</v>
      </c>
      <c r="B6" s="2">
        <v>45902.5</v>
      </c>
      <c r="C6" t="s">
        <v>62</v>
      </c>
      <c r="D6" t="s">
        <f>'客户档案'!B5</f>
        <v>63</v>
      </c>
      <c r="E6" t="s">
        <v>64</v>
      </c>
      <c r="F6" t="s">
        <v>65</v>
      </c>
      <c r="G6" t="s">
        <f>'商品目录'!B5</f>
        <v>66</v>
      </c>
      <c r="H6" t="s">
        <v>67</v>
      </c>
      <c r="I6">
        <v>6</v>
      </c>
      <c r="J6" s="4">
        <v>45</v>
      </c>
      <c r="K6" s="4">
        <f>I6*J6</f>
        <v>270</v>
      </c>
      <c r="L6" s="3">
        <v>0</v>
      </c>
      <c r="M6" s="4">
        <f>K6*L6</f>
        <v>0</v>
      </c>
      <c r="N6" s="4">
        <v>20</v>
      </c>
      <c r="O6" s="4">
        <f>K6-M6+N6</f>
        <v>290</v>
      </c>
      <c r="P6" t="s">
        <v>43</v>
      </c>
      <c r="Q6" t="b">
        <v>1</v>
      </c>
      <c r="R6" t="s">
        <v>55</v>
      </c>
      <c r="S6" t="s">
        <v>68</v>
      </c>
      <c r="T6" t="s">
        <v>69</v>
      </c>
      <c r="U6" t="s">
        <v>70</v>
      </c>
      <c r="V6" t="s">
        <v>63</v>
      </c>
      <c r="W6" t="s">
        <v>71</v>
      </c>
      <c r="X6" t="s">
        <v>72</v>
      </c>
      <c r="Y6">
        <v>9007199254740995</v>
      </c>
      <c r="Z6">
        <v>0</v>
      </c>
      <c r="AA6" t="s">
        <v>63</v>
      </c>
      <c r="AB6" t="b">
        <v>0</v>
      </c>
      <c r="AD6" s="3">
        <v>0.125</v>
      </c>
      <c r="AE6" s="2">
        <v>45904.5</v>
      </c>
      <c r="AF6" t="s">
        <v>60</v>
      </c>
    </row>
    <row r="7">
      <c r="A7" t="s">
        <v>73</v>
      </c>
      <c r="B7" s="2">
        <v>45903.5</v>
      </c>
      <c r="C7" t="s">
        <v>37</v>
      </c>
      <c r="D7" t="s">
        <f>'客户档案'!B3</f>
        <v>38</v>
      </c>
      <c r="E7" t="s">
        <v>74</v>
      </c>
      <c r="F7" t="s">
        <v>75</v>
      </c>
      <c r="G7" t="s">
        <f>'商品目录'!B6</f>
        <v>76</v>
      </c>
      <c r="H7" t="s">
        <v>77</v>
      </c>
      <c r="I7">
        <v>8</v>
      </c>
      <c r="J7" s="4">
        <v>8</v>
      </c>
      <c r="K7" s="4">
        <f>I7*J7</f>
        <v>64</v>
      </c>
      <c r="L7" s="3">
        <v>0.5</v>
      </c>
      <c r="M7" s="4">
        <f>K7*L7</f>
        <v>32</v>
      </c>
      <c r="N7" s="4">
        <v>0</v>
      </c>
      <c r="O7" s="4">
        <f>K7-M7+N7</f>
        <v>32</v>
      </c>
      <c r="P7" t="s">
        <v>43</v>
      </c>
      <c r="Q7" t="b">
        <v>1</v>
      </c>
      <c r="R7" t="s">
        <v>55</v>
      </c>
      <c r="S7" t="s">
        <v>45</v>
      </c>
      <c r="T7" t="s">
        <v>46</v>
      </c>
      <c r="U7" t="s">
        <v>78</v>
      </c>
      <c r="V7" t="s">
        <v>38</v>
      </c>
      <c r="W7" t="s">
        <v>79</v>
      </c>
      <c r="X7" t="s">
        <v>80</v>
      </c>
      <c r="Y7">
        <v>9007199254740996</v>
      </c>
      <c r="Z7">
        <v>0</v>
      </c>
      <c r="AA7" t="s">
        <v>38</v>
      </c>
      <c r="AB7" t="b">
        <v>1</v>
      </c>
      <c r="AD7" s="3">
        <v>0.125</v>
      </c>
      <c r="AE7" s="2">
        <v>45905.5</v>
      </c>
      <c r="AF7" t="s">
        <v>60</v>
      </c>
    </row>
    <row r="8">
      <c r="A8" t="s">
        <v>81</v>
      </c>
      <c r="B8" s="2">
        <v>45904.5</v>
      </c>
      <c r="C8" t="s">
        <v>49</v>
      </c>
      <c r="D8" t="s">
        <f>'客户档案'!B4</f>
        <v>50</v>
      </c>
      <c r="E8" t="s">
        <v>39</v>
      </c>
      <c r="F8" t="s">
        <v>40</v>
      </c>
      <c r="G8" t="s">
        <f>'商品目录'!B3</f>
        <v>41</v>
      </c>
      <c r="H8" t="s">
        <v>42</v>
      </c>
      <c r="I8">
        <v>10</v>
      </c>
      <c r="J8" s="4">
        <v>99</v>
      </c>
      <c r="K8" s="4">
        <f>I8*J8</f>
        <v>990</v>
      </c>
      <c r="L8" s="3">
        <v>0</v>
      </c>
      <c r="M8" s="4">
        <f>K8*L8</f>
        <v>0</v>
      </c>
      <c r="N8" s="4">
        <v>10</v>
      </c>
      <c r="O8" s="4">
        <f>K8-M8+N8</f>
        <v>1000</v>
      </c>
      <c r="P8" t="s">
        <v>43</v>
      </c>
      <c r="Q8" t="b">
        <v>0</v>
      </c>
      <c r="R8" t="s">
        <v>44</v>
      </c>
      <c r="S8" t="s">
        <v>56</v>
      </c>
      <c r="T8" t="s">
        <v>57</v>
      </c>
      <c r="U8" t="s">
        <v>39</v>
      </c>
      <c r="V8" t="s">
        <v>50</v>
      </c>
      <c r="W8" t="s">
        <v>82</v>
      </c>
      <c r="X8" t="s">
        <v>0</v>
      </c>
      <c r="Y8">
        <v>9007199254740997</v>
      </c>
      <c r="Z8">
        <v>0</v>
      </c>
      <c r="AA8" t="s">
        <v>50</v>
      </c>
      <c r="AB8" t="b">
        <v>0</v>
      </c>
      <c r="AD8" s="3">
        <v>0.125</v>
      </c>
      <c r="AE8" s="2">
        <v>45906.5</v>
      </c>
      <c r="AF8" t="s">
        <v>60</v>
      </c>
    </row>
    <row r="9">
      <c r="A9" t="s">
        <v>83</v>
      </c>
      <c r="B9" s="2">
        <v>45905.5</v>
      </c>
      <c r="C9" t="s">
        <v>62</v>
      </c>
      <c r="D9" t="s">
        <f>'客户档案'!B5</f>
        <v>63</v>
      </c>
      <c r="E9" t="s">
        <v>51</v>
      </c>
      <c r="F9" t="s">
        <v>52</v>
      </c>
      <c r="G9" t="s">
        <f>'商品目录'!B4</f>
        <v>53</v>
      </c>
      <c r="H9" t="s">
        <v>54</v>
      </c>
      <c r="I9">
        <v>2</v>
      </c>
      <c r="J9" s="4">
        <v>129</v>
      </c>
      <c r="K9" s="4">
        <f>I9*J9</f>
        <v>258</v>
      </c>
      <c r="L9" s="3">
        <v>0.5</v>
      </c>
      <c r="M9" s="4">
        <f>K9*L9</f>
        <v>129</v>
      </c>
      <c r="N9" s="4">
        <v>20</v>
      </c>
      <c r="O9" s="4">
        <f>K9-M9+N9</f>
        <v>149</v>
      </c>
      <c r="P9" t="s">
        <v>43</v>
      </c>
      <c r="Q9" t="b">
        <v>1</v>
      </c>
      <c r="R9" t="s">
        <v>55</v>
      </c>
      <c r="S9" t="s">
        <v>68</v>
      </c>
      <c r="T9" t="s">
        <v>69</v>
      </c>
      <c r="U9" t="s">
        <v>51</v>
      </c>
      <c r="V9" t="s">
        <v>63</v>
      </c>
      <c r="W9" t="s">
        <v>84</v>
      </c>
      <c r="X9" t="s">
        <v>59</v>
      </c>
      <c r="Y9">
        <v>9007199254740998</v>
      </c>
      <c r="Z9">
        <v>0</v>
      </c>
      <c r="AA9" t="s">
        <v>63</v>
      </c>
      <c r="AB9" t="b">
        <v>1</v>
      </c>
      <c r="AD9" s="3">
        <v>0.125</v>
      </c>
      <c r="AE9" s="2">
        <v>45907.5</v>
      </c>
      <c r="AF9" t="s">
        <v>60</v>
      </c>
    </row>
    <row r="10">
      <c r="A10" t="s">
        <v>85</v>
      </c>
      <c r="B10" s="2">
        <v>45906.5</v>
      </c>
      <c r="C10" t="s">
        <v>37</v>
      </c>
      <c r="D10" t="s">
        <f>'客户档案'!B3</f>
        <v>38</v>
      </c>
      <c r="E10" t="s">
        <v>64</v>
      </c>
      <c r="F10" t="s">
        <v>65</v>
      </c>
      <c r="G10" t="s">
        <f>'商品目录'!B5</f>
        <v>66</v>
      </c>
      <c r="H10" t="s">
        <v>67</v>
      </c>
      <c r="I10">
        <v>4</v>
      </c>
      <c r="J10" s="4">
        <v>45</v>
      </c>
      <c r="K10" s="4">
        <f>I10*J10</f>
        <v>180</v>
      </c>
      <c r="L10" s="3">
        <v>0</v>
      </c>
      <c r="M10" s="4">
        <f>K10*L10</f>
        <v>0</v>
      </c>
      <c r="N10" s="4">
        <v>0</v>
      </c>
      <c r="O10" s="4">
        <f>K10-M10+N10</f>
        <v>180</v>
      </c>
      <c r="P10" t="s">
        <v>43</v>
      </c>
      <c r="Q10" t="b">
        <v>1</v>
      </c>
      <c r="R10" t="s">
        <v>55</v>
      </c>
      <c r="S10" t="s">
        <v>45</v>
      </c>
      <c r="T10" t="s">
        <v>46</v>
      </c>
      <c r="U10" t="s">
        <v>70</v>
      </c>
      <c r="V10" t="s">
        <v>38</v>
      </c>
      <c r="W10" t="s">
        <v>86</v>
      </c>
      <c r="X10" t="s">
        <v>72</v>
      </c>
      <c r="Y10">
        <v>9007199254740999</v>
      </c>
      <c r="Z10">
        <v>0</v>
      </c>
      <c r="AA10" t="s">
        <v>38</v>
      </c>
      <c r="AB10" t="b">
        <v>0</v>
      </c>
      <c r="AD10" s="3">
        <v>0.125</v>
      </c>
      <c r="AE10" s="2">
        <v>45908.5</v>
      </c>
      <c r="AF10" t="s">
        <v>60</v>
      </c>
    </row>
    <row r="11">
      <c r="A11" t="s">
        <v>87</v>
      </c>
      <c r="B11" s="2">
        <v>45907.5</v>
      </c>
      <c r="C11" t="s">
        <v>49</v>
      </c>
      <c r="D11" t="s">
        <f>'客户档案'!B4</f>
        <v>50</v>
      </c>
      <c r="E11" t="s">
        <v>74</v>
      </c>
      <c r="F11" t="s">
        <v>75</v>
      </c>
      <c r="G11" t="s">
        <f>'商品目录'!B6</f>
        <v>76</v>
      </c>
      <c r="H11" t="s">
        <v>77</v>
      </c>
      <c r="I11">
        <v>6</v>
      </c>
      <c r="J11" s="4">
        <v>8</v>
      </c>
      <c r="K11" s="4">
        <f>I11*J11</f>
        <v>48</v>
      </c>
      <c r="L11" s="3">
        <v>0.5</v>
      </c>
      <c r="M11" s="4">
        <f>K11*L11</f>
        <v>24</v>
      </c>
      <c r="N11" s="4">
        <v>10</v>
      </c>
      <c r="O11" s="4">
        <f>K11-M11+N11</f>
        <v>34</v>
      </c>
      <c r="P11" t="s">
        <v>43</v>
      </c>
      <c r="Q11" t="b">
        <v>1</v>
      </c>
      <c r="R11" t="s">
        <v>55</v>
      </c>
      <c r="S11" t="s">
        <v>56</v>
      </c>
      <c r="T11" t="s">
        <v>57</v>
      </c>
      <c r="U11" t="s">
        <v>78</v>
      </c>
      <c r="V11" t="s">
        <v>50</v>
      </c>
      <c r="W11" t="s">
        <v>88</v>
      </c>
      <c r="X11" t="s">
        <v>80</v>
      </c>
      <c r="Y11">
        <v>9007199254741000</v>
      </c>
      <c r="Z11">
        <v>0</v>
      </c>
      <c r="AA11" t="s">
        <v>50</v>
      </c>
      <c r="AB11" t="b">
        <v>1</v>
      </c>
      <c r="AD11" s="3">
        <v>0.125</v>
      </c>
      <c r="AE11" s="2">
        <v>45909.5</v>
      </c>
      <c r="AF11" t="s">
        <v>60</v>
      </c>
    </row>
    <row r="12">
      <c r="A12" t="s">
        <v>89</v>
      </c>
      <c r="B12" s="2">
        <v>45908.5</v>
      </c>
      <c r="C12" t="s">
        <v>62</v>
      </c>
      <c r="D12" t="s">
        <f>'客户档案'!B5</f>
        <v>63</v>
      </c>
      <c r="E12" t="s">
        <v>39</v>
      </c>
      <c r="F12" t="s">
        <v>40</v>
      </c>
      <c r="G12" t="s">
        <f>'商品目录'!B3</f>
        <v>41</v>
      </c>
      <c r="H12" t="s">
        <v>42</v>
      </c>
      <c r="I12">
        <v>8</v>
      </c>
      <c r="J12" s="4">
        <v>99</v>
      </c>
      <c r="K12" s="4">
        <f>I12*J12</f>
        <v>792</v>
      </c>
      <c r="L12" s="3">
        <v>0</v>
      </c>
      <c r="M12" s="4">
        <f>K12*L12</f>
        <v>0</v>
      </c>
      <c r="N12" s="4">
        <v>20</v>
      </c>
      <c r="O12" s="4">
        <f>K12-M12+N12</f>
        <v>812</v>
      </c>
      <c r="P12" t="s">
        <v>43</v>
      </c>
      <c r="Q12" t="b">
        <v>0</v>
      </c>
      <c r="R12" t="s">
        <v>44</v>
      </c>
      <c r="S12" t="s">
        <v>68</v>
      </c>
      <c r="T12" t="s">
        <v>69</v>
      </c>
      <c r="U12" t="s">
        <v>39</v>
      </c>
      <c r="V12" t="s">
        <v>63</v>
      </c>
      <c r="W12" t="s">
        <v>90</v>
      </c>
      <c r="X12" t="s">
        <v>0</v>
      </c>
      <c r="Y12">
        <v>9007199254741001</v>
      </c>
      <c r="Z12">
        <v>0</v>
      </c>
      <c r="AA12" t="s">
        <v>63</v>
      </c>
      <c r="AB12" t="b">
        <v>0</v>
      </c>
      <c r="AD12" s="3">
        <v>0.125</v>
      </c>
      <c r="AE12" s="2">
        <v>45910.5</v>
      </c>
      <c r="AF12" t="s">
        <v>60</v>
      </c>
    </row>
    <row r="13">
      <c r="A13" t="s">
        <v>91</v>
      </c>
      <c r="B13" s="2">
        <v>45909.5</v>
      </c>
      <c r="C13" t="s">
        <v>37</v>
      </c>
      <c r="D13" t="s">
        <f>'客户档案'!B3</f>
        <v>38</v>
      </c>
      <c r="E13" t="s">
        <v>51</v>
      </c>
      <c r="F13" t="s">
        <v>52</v>
      </c>
      <c r="G13" t="s">
        <f>'商品目录'!B4</f>
        <v>53</v>
      </c>
      <c r="H13" t="s">
        <v>54</v>
      </c>
      <c r="I13">
        <v>10</v>
      </c>
      <c r="J13" s="4">
        <v>129</v>
      </c>
      <c r="K13" s="4">
        <f>I13*J13</f>
        <v>1290</v>
      </c>
      <c r="L13" s="3">
        <v>0.5</v>
      </c>
      <c r="M13" s="4">
        <f>K13*L13</f>
        <v>645</v>
      </c>
      <c r="N13" s="4">
        <v>0</v>
      </c>
      <c r="O13" s="4">
        <f>K13-M13+N13</f>
        <v>645</v>
      </c>
      <c r="P13" t="s">
        <v>43</v>
      </c>
      <c r="Q13" t="b">
        <v>1</v>
      </c>
      <c r="R13" t="s">
        <v>55</v>
      </c>
      <c r="S13" t="s">
        <v>45</v>
      </c>
      <c r="T13" t="s">
        <v>46</v>
      </c>
      <c r="U13" t="s">
        <v>51</v>
      </c>
      <c r="V13" t="s">
        <v>38</v>
      </c>
      <c r="W13" t="s">
        <v>92</v>
      </c>
      <c r="X13" t="s">
        <v>59</v>
      </c>
      <c r="Y13">
        <v>9007199254741002</v>
      </c>
      <c r="Z13">
        <v>0</v>
      </c>
      <c r="AA13" t="s">
        <v>38</v>
      </c>
      <c r="AB13" t="b">
        <v>1</v>
      </c>
      <c r="AD13" s="3">
        <v>0.125</v>
      </c>
      <c r="AE13" s="2">
        <v>45911.5</v>
      </c>
      <c r="AF13" t="s">
        <v>60</v>
      </c>
    </row>
    <row r="14">
      <c r="A14" t="s">
        <v>93</v>
      </c>
      <c r="B14" s="2">
        <v>45910.5</v>
      </c>
      <c r="C14" t="s">
        <v>49</v>
      </c>
      <c r="D14" t="s">
        <f>'客户档案'!B4</f>
        <v>50</v>
      </c>
      <c r="E14" t="s">
        <v>64</v>
      </c>
      <c r="F14" t="s">
        <v>65</v>
      </c>
      <c r="G14" t="s">
        <f>'商品目录'!B5</f>
        <v>66</v>
      </c>
      <c r="H14" t="s">
        <v>67</v>
      </c>
      <c r="I14">
        <v>2</v>
      </c>
      <c r="J14" s="4">
        <v>45</v>
      </c>
      <c r="K14" s="4">
        <f>I14*J14</f>
        <v>90</v>
      </c>
      <c r="L14" s="3">
        <v>0</v>
      </c>
      <c r="M14" s="4">
        <f>K14*L14</f>
        <v>0</v>
      </c>
      <c r="N14" s="4">
        <v>10</v>
      </c>
      <c r="O14" s="4">
        <f>K14-M14+N14</f>
        <v>100</v>
      </c>
      <c r="P14" t="s">
        <v>43</v>
      </c>
      <c r="Q14" t="b">
        <v>1</v>
      </c>
      <c r="R14" t="s">
        <v>55</v>
      </c>
      <c r="S14" t="s">
        <v>56</v>
      </c>
      <c r="T14" t="s">
        <v>57</v>
      </c>
      <c r="U14" t="s">
        <v>70</v>
      </c>
      <c r="V14" t="s">
        <v>50</v>
      </c>
      <c r="W14" t="s">
        <v>94</v>
      </c>
      <c r="X14" t="s">
        <v>72</v>
      </c>
      <c r="Y14">
        <v>9007199254741003</v>
      </c>
      <c r="Z14">
        <v>0</v>
      </c>
      <c r="AA14" t="s">
        <v>50</v>
      </c>
      <c r="AB14" t="b">
        <v>0</v>
      </c>
      <c r="AD14" s="3">
        <v>0.125</v>
      </c>
      <c r="AE14" s="2">
        <v>45912.5</v>
      </c>
      <c r="AF14" t="s">
        <v>60</v>
      </c>
    </row>
    <row r="15">
      <c r="A15" t="s">
        <v>95</v>
      </c>
      <c r="B15" s="2">
        <v>45911.5</v>
      </c>
      <c r="C15" t="s">
        <v>62</v>
      </c>
      <c r="D15" t="s">
        <f>'客户档案'!B5</f>
        <v>63</v>
      </c>
      <c r="E15" t="s">
        <v>74</v>
      </c>
      <c r="F15" t="s">
        <v>75</v>
      </c>
      <c r="G15" t="s">
        <f>'商品目录'!B6</f>
        <v>76</v>
      </c>
      <c r="H15" t="s">
        <v>77</v>
      </c>
      <c r="I15">
        <v>4</v>
      </c>
      <c r="J15" s="4">
        <v>8</v>
      </c>
      <c r="K15" s="4">
        <f>I15*J15</f>
        <v>32</v>
      </c>
      <c r="L15" s="3">
        <v>0.5</v>
      </c>
      <c r="M15" s="4">
        <f>K15*L15</f>
        <v>16</v>
      </c>
      <c r="N15" s="4">
        <v>20</v>
      </c>
      <c r="O15" s="4">
        <f>K15-M15+N15</f>
        <v>36</v>
      </c>
      <c r="P15" t="s">
        <v>43</v>
      </c>
      <c r="Q15" t="b">
        <v>1</v>
      </c>
      <c r="R15" t="s">
        <v>55</v>
      </c>
      <c r="S15" t="s">
        <v>68</v>
      </c>
      <c r="T15" t="s">
        <v>69</v>
      </c>
      <c r="U15" t="s">
        <v>78</v>
      </c>
      <c r="V15" t="s">
        <v>63</v>
      </c>
      <c r="W15" t="s">
        <v>96</v>
      </c>
      <c r="X15" t="s">
        <v>80</v>
      </c>
      <c r="Y15">
        <v>9007199254741004</v>
      </c>
      <c r="Z15">
        <v>0</v>
      </c>
      <c r="AA15" t="s">
        <v>63</v>
      </c>
      <c r="AB15" t="b">
        <v>1</v>
      </c>
      <c r="AD15" s="3">
        <v>0.125</v>
      </c>
      <c r="AE15" s="2">
        <v>45913.5</v>
      </c>
      <c r="AF15" t="s">
        <v>60</v>
      </c>
    </row>
    <row r="16">
      <c r="A16" t="s">
        <v>97</v>
      </c>
      <c r="B16" s="2">
        <v>45912.5</v>
      </c>
      <c r="C16" t="s">
        <v>37</v>
      </c>
      <c r="D16" t="s">
        <f>'客户档案'!B3</f>
        <v>38</v>
      </c>
      <c r="E16" t="s">
        <v>39</v>
      </c>
      <c r="F16" t="s">
        <v>40</v>
      </c>
      <c r="G16" t="s">
        <f>'商品目录'!B3</f>
        <v>41</v>
      </c>
      <c r="H16" t="s">
        <v>42</v>
      </c>
      <c r="I16">
        <v>6</v>
      </c>
      <c r="J16" s="4">
        <v>99</v>
      </c>
      <c r="K16" s="4">
        <f>I16*J16</f>
        <v>594</v>
      </c>
      <c r="L16" s="3">
        <v>0</v>
      </c>
      <c r="M16" s="4">
        <f>K16*L16</f>
        <v>0</v>
      </c>
      <c r="N16" s="4">
        <v>0</v>
      </c>
      <c r="O16" s="4">
        <f>K16-M16+N16</f>
        <v>594</v>
      </c>
      <c r="P16" t="s">
        <v>43</v>
      </c>
      <c r="Q16" t="b">
        <v>0</v>
      </c>
      <c r="R16" t="s">
        <v>44</v>
      </c>
      <c r="S16" t="s">
        <v>45</v>
      </c>
      <c r="T16" t="s">
        <v>46</v>
      </c>
      <c r="U16" t="s">
        <v>39</v>
      </c>
      <c r="V16" t="s">
        <v>38</v>
      </c>
      <c r="W16" t="s">
        <v>98</v>
      </c>
      <c r="X16" t="s">
        <v>0</v>
      </c>
      <c r="Y16">
        <v>9007199254741005</v>
      </c>
      <c r="Z16">
        <v>0</v>
      </c>
      <c r="AA16" t="s">
        <v>38</v>
      </c>
      <c r="AB16" t="b">
        <v>0</v>
      </c>
      <c r="AD16" s="3">
        <v>0.125</v>
      </c>
      <c r="AE16" s="2">
        <v>45914.5</v>
      </c>
      <c r="AF16" t="s">
        <v>60</v>
      </c>
    </row>
    <row r="17">
      <c r="A17" t="s">
        <v>99</v>
      </c>
      <c r="B17" s="2">
        <v>45913.5</v>
      </c>
      <c r="C17" t="s">
        <v>49</v>
      </c>
      <c r="D17" t="s">
        <f>'客户档案'!B4</f>
        <v>50</v>
      </c>
      <c r="E17" t="s">
        <v>51</v>
      </c>
      <c r="F17" t="s">
        <v>52</v>
      </c>
      <c r="G17" t="s">
        <f>'商品目录'!B4</f>
        <v>53</v>
      </c>
      <c r="H17" t="s">
        <v>54</v>
      </c>
      <c r="I17">
        <v>8</v>
      </c>
      <c r="J17" s="4">
        <v>129</v>
      </c>
      <c r="K17" s="4">
        <f>I17*J17</f>
        <v>1032</v>
      </c>
      <c r="L17" s="3">
        <v>0.5</v>
      </c>
      <c r="M17" s="4">
        <f>K17*L17</f>
        <v>516</v>
      </c>
      <c r="N17" s="4">
        <v>10</v>
      </c>
      <c r="O17" s="4">
        <f>K17-M17+N17</f>
        <v>526</v>
      </c>
      <c r="P17" t="s">
        <v>43</v>
      </c>
      <c r="Q17" t="b">
        <v>1</v>
      </c>
      <c r="R17" t="s">
        <v>55</v>
      </c>
      <c r="S17" t="s">
        <v>56</v>
      </c>
      <c r="T17" t="s">
        <v>57</v>
      </c>
      <c r="U17" t="s">
        <v>51</v>
      </c>
      <c r="V17" t="s">
        <v>50</v>
      </c>
      <c r="W17" t="s">
        <v>100</v>
      </c>
      <c r="X17" t="s">
        <v>59</v>
      </c>
      <c r="Y17">
        <v>9007199254741006</v>
      </c>
      <c r="Z17">
        <v>0</v>
      </c>
      <c r="AA17" t="s">
        <v>50</v>
      </c>
      <c r="AB17" t="b">
        <v>1</v>
      </c>
      <c r="AD17" s="3">
        <v>0.125</v>
      </c>
      <c r="AE17" s="2">
        <v>45915.5</v>
      </c>
      <c r="AF17" t="s">
        <v>60</v>
      </c>
    </row>
    <row r="18">
      <c r="A18" t="s">
        <v>101</v>
      </c>
      <c r="B18" s="2">
        <v>45914.5</v>
      </c>
      <c r="C18" t="s">
        <v>62</v>
      </c>
      <c r="D18" t="s">
        <f>'客户档案'!B5</f>
        <v>63</v>
      </c>
      <c r="E18" t="s">
        <v>64</v>
      </c>
      <c r="F18" t="s">
        <v>65</v>
      </c>
      <c r="G18" t="s">
        <f>'商品目录'!B5</f>
        <v>66</v>
      </c>
      <c r="H18" t="s">
        <v>67</v>
      </c>
      <c r="I18">
        <v>10</v>
      </c>
      <c r="J18" s="4">
        <v>45</v>
      </c>
      <c r="K18" s="4">
        <f>I18*J18</f>
        <v>450</v>
      </c>
      <c r="L18" s="3">
        <v>0</v>
      </c>
      <c r="M18" s="4">
        <f>K18*L18</f>
        <v>0</v>
      </c>
      <c r="N18" s="4">
        <v>20</v>
      </c>
      <c r="O18" s="4">
        <f>K18-M18+N18</f>
        <v>470</v>
      </c>
      <c r="P18" t="s">
        <v>43</v>
      </c>
      <c r="Q18" t="b">
        <v>1</v>
      </c>
      <c r="R18" t="s">
        <v>55</v>
      </c>
      <c r="S18" t="s">
        <v>68</v>
      </c>
      <c r="T18" t="s">
        <v>69</v>
      </c>
      <c r="U18" t="s">
        <v>70</v>
      </c>
      <c r="V18" t="s">
        <v>63</v>
      </c>
      <c r="W18" t="s">
        <v>102</v>
      </c>
      <c r="X18" t="s">
        <v>72</v>
      </c>
      <c r="Y18">
        <v>9007199254741007</v>
      </c>
      <c r="Z18">
        <v>0</v>
      </c>
      <c r="AA18" t="s">
        <v>63</v>
      </c>
      <c r="AB18" t="b">
        <v>0</v>
      </c>
      <c r="AD18" s="3">
        <v>0.125</v>
      </c>
      <c r="AE18" s="2">
        <v>45916.5</v>
      </c>
      <c r="AF18" t="s">
        <v>60</v>
      </c>
    </row>
    <row r="19">
      <c r="A19" t="s">
        <v>103</v>
      </c>
      <c r="B19" s="2">
        <v>45915.5</v>
      </c>
      <c r="C19" t="s">
        <v>37</v>
      </c>
      <c r="D19" t="s">
        <f>'客户档案'!B3</f>
        <v>38</v>
      </c>
      <c r="E19" t="s">
        <v>74</v>
      </c>
      <c r="F19" t="s">
        <v>75</v>
      </c>
      <c r="G19" t="s">
        <f>'商品目录'!B6</f>
        <v>76</v>
      </c>
      <c r="H19" t="s">
        <v>77</v>
      </c>
      <c r="I19">
        <v>2</v>
      </c>
      <c r="J19" s="4">
        <v>8</v>
      </c>
      <c r="K19" s="4">
        <f>I19*J19</f>
        <v>16</v>
      </c>
      <c r="L19" s="3">
        <v>0.5</v>
      </c>
      <c r="M19" s="4">
        <f>K19*L19</f>
        <v>8</v>
      </c>
      <c r="N19" s="4">
        <v>0</v>
      </c>
      <c r="O19" s="4">
        <f>K19-M19+N19</f>
        <v>8</v>
      </c>
      <c r="P19" t="s">
        <v>43</v>
      </c>
      <c r="Q19" t="b">
        <v>1</v>
      </c>
      <c r="R19" t="s">
        <v>55</v>
      </c>
      <c r="S19" t="s">
        <v>45</v>
      </c>
      <c r="T19" t="s">
        <v>46</v>
      </c>
      <c r="U19" t="s">
        <v>78</v>
      </c>
      <c r="V19" t="s">
        <v>38</v>
      </c>
      <c r="W19" t="s">
        <v>104</v>
      </c>
      <c r="X19" t="s">
        <v>80</v>
      </c>
      <c r="Y19">
        <v>9007199254741008</v>
      </c>
      <c r="Z19">
        <v>0</v>
      </c>
      <c r="AA19" t="s">
        <v>38</v>
      </c>
      <c r="AB19" t="b">
        <v>1</v>
      </c>
      <c r="AD19" s="3">
        <v>0.125</v>
      </c>
      <c r="AE19" s="2">
        <v>45917.5</v>
      </c>
      <c r="AF19" t="s">
        <v>60</v>
      </c>
    </row>
    <row r="20">
      <c r="A20" t="s">
        <v>105</v>
      </c>
      <c r="B20" s="2">
        <v>45916.5</v>
      </c>
      <c r="C20" t="s">
        <v>49</v>
      </c>
      <c r="D20" t="s">
        <f>'客户档案'!B4</f>
        <v>50</v>
      </c>
      <c r="E20" t="s">
        <v>39</v>
      </c>
      <c r="F20" t="s">
        <v>40</v>
      </c>
      <c r="G20" t="s">
        <f>'商品目录'!B3</f>
        <v>41</v>
      </c>
      <c r="H20" t="s">
        <v>42</v>
      </c>
      <c r="I20">
        <v>4</v>
      </c>
      <c r="J20" s="4">
        <v>99</v>
      </c>
      <c r="K20" s="4">
        <f>I20*J20</f>
        <v>396</v>
      </c>
      <c r="L20" s="3">
        <v>0</v>
      </c>
      <c r="M20" s="4">
        <f>K20*L20</f>
        <v>0</v>
      </c>
      <c r="N20" s="4">
        <v>10</v>
      </c>
      <c r="O20" s="4">
        <f>K20-M20+N20</f>
        <v>406</v>
      </c>
      <c r="P20" t="s">
        <v>43</v>
      </c>
      <c r="Q20" t="b">
        <v>0</v>
      </c>
      <c r="R20" t="s">
        <v>44</v>
      </c>
      <c r="S20" t="s">
        <v>56</v>
      </c>
      <c r="T20" t="s">
        <v>57</v>
      </c>
      <c r="U20" t="s">
        <v>39</v>
      </c>
      <c r="V20" t="s">
        <v>50</v>
      </c>
      <c r="W20" t="s">
        <v>106</v>
      </c>
      <c r="X20" t="s">
        <v>0</v>
      </c>
      <c r="Y20">
        <v>9007199254741009</v>
      </c>
      <c r="Z20">
        <v>0</v>
      </c>
      <c r="AA20" t="s">
        <v>50</v>
      </c>
      <c r="AB20" t="b">
        <v>0</v>
      </c>
      <c r="AD20" s="3">
        <v>0.125</v>
      </c>
      <c r="AE20" s="2">
        <v>45918.5</v>
      </c>
      <c r="AF20" t="s">
        <v>60</v>
      </c>
    </row>
    <row r="21">
      <c r="A21" t="s">
        <v>107</v>
      </c>
      <c r="B21" s="2">
        <v>45917.5</v>
      </c>
      <c r="C21" t="s">
        <v>62</v>
      </c>
      <c r="D21" t="s">
        <f>'客户档案'!B5</f>
        <v>63</v>
      </c>
      <c r="E21" t="s">
        <v>51</v>
      </c>
      <c r="F21" t="s">
        <v>52</v>
      </c>
      <c r="G21" t="s">
        <f>'商品目录'!B4</f>
        <v>53</v>
      </c>
      <c r="H21" t="s">
        <v>54</v>
      </c>
      <c r="I21">
        <v>6</v>
      </c>
      <c r="J21" s="4">
        <v>129</v>
      </c>
      <c r="K21" s="4">
        <f>I21*J21</f>
        <v>774</v>
      </c>
      <c r="L21" s="3">
        <v>0.5</v>
      </c>
      <c r="M21" s="4">
        <f>K21*L21</f>
        <v>387</v>
      </c>
      <c r="N21" s="4">
        <v>20</v>
      </c>
      <c r="O21" s="4">
        <f>K21-M21+N21</f>
        <v>407</v>
      </c>
      <c r="P21" t="s">
        <v>43</v>
      </c>
      <c r="Q21" t="b">
        <v>1</v>
      </c>
      <c r="R21" t="s">
        <v>55</v>
      </c>
      <c r="S21" t="s">
        <v>68</v>
      </c>
      <c r="T21" t="s">
        <v>69</v>
      </c>
      <c r="U21" t="s">
        <v>51</v>
      </c>
      <c r="V21" t="s">
        <v>63</v>
      </c>
      <c r="W21" t="s">
        <v>108</v>
      </c>
      <c r="X21" t="s">
        <v>59</v>
      </c>
      <c r="Y21">
        <v>9007199254741010</v>
      </c>
      <c r="Z21">
        <v>2</v>
      </c>
      <c r="AA21" t="s">
        <v>63</v>
      </c>
      <c r="AB21" t="b">
        <v>1</v>
      </c>
      <c r="AD21" s="3">
        <v>0.125</v>
      </c>
      <c r="AE21" s="2">
        <v>45919.5</v>
      </c>
      <c r="AF21" t="s">
        <v>60</v>
      </c>
    </row>
    <row r="22">
      <c r="A22" t="s">
        <v>109</v>
      </c>
      <c r="B22" s="2">
        <v>45918.5</v>
      </c>
      <c r="C22" t="s">
        <v>37</v>
      </c>
      <c r="D22" t="s">
        <f>'客户档案'!B3</f>
        <v>38</v>
      </c>
      <c r="E22" t="s">
        <v>64</v>
      </c>
      <c r="F22" t="s">
        <v>65</v>
      </c>
      <c r="G22" t="s">
        <f>'商品目录'!B5</f>
        <v>66</v>
      </c>
      <c r="H22" t="s">
        <v>67</v>
      </c>
      <c r="I22">
        <v>8</v>
      </c>
      <c r="J22" s="4">
        <v>45</v>
      </c>
      <c r="K22" s="4">
        <f>I22*J22</f>
        <v>360</v>
      </c>
      <c r="L22" s="3">
        <v>0</v>
      </c>
      <c r="M22" s="4">
        <f>K22*L22</f>
        <v>0</v>
      </c>
      <c r="N22" s="4">
        <v>0</v>
      </c>
      <c r="O22" s="4">
        <f>K22-M22+N22</f>
        <v>360</v>
      </c>
      <c r="P22" t="s">
        <v>43</v>
      </c>
      <c r="Q22" t="b">
        <v>1</v>
      </c>
      <c r="R22" t="s">
        <v>55</v>
      </c>
      <c r="S22" t="s">
        <v>45</v>
      </c>
      <c r="T22" t="s">
        <v>46</v>
      </c>
      <c r="U22" t="s">
        <v>70</v>
      </c>
      <c r="V22" t="s">
        <v>38</v>
      </c>
      <c r="W22" t="s">
        <v>110</v>
      </c>
      <c r="X22" t="s">
        <v>72</v>
      </c>
      <c r="Y22">
        <v>9007199254741011</v>
      </c>
      <c r="Z22">
        <v>0</v>
      </c>
      <c r="AA22" t="s">
        <v>38</v>
      </c>
      <c r="AB22" t="b">
        <v>0</v>
      </c>
      <c r="AD22" s="3">
        <v>0.125</v>
      </c>
      <c r="AE22" s="2">
        <v>45920.5</v>
      </c>
      <c r="AF22" t="s">
        <v>60</v>
      </c>
    </row>
    <row r="23">
      <c r="A23" t="s">
        <v>111</v>
      </c>
      <c r="B23" s="2">
        <v>45919.5</v>
      </c>
      <c r="C23" t="s">
        <v>49</v>
      </c>
      <c r="D23" t="s">
        <f>'客户档案'!B4</f>
        <v>50</v>
      </c>
      <c r="E23" t="s">
        <v>74</v>
      </c>
      <c r="F23" t="s">
        <v>75</v>
      </c>
      <c r="G23" t="s">
        <f>'商品目录'!B6</f>
        <v>76</v>
      </c>
      <c r="H23" t="s">
        <v>77</v>
      </c>
      <c r="I23">
        <v>10</v>
      </c>
      <c r="J23" s="4">
        <v>8</v>
      </c>
      <c r="K23" s="4">
        <f>I23*J23</f>
        <v>80</v>
      </c>
      <c r="L23" s="3">
        <v>0.5</v>
      </c>
      <c r="M23" s="4">
        <f>K23*L23</f>
        <v>40</v>
      </c>
      <c r="N23" s="4">
        <v>10</v>
      </c>
      <c r="O23" s="4">
        <f>K23-M23+N23</f>
        <v>50</v>
      </c>
      <c r="P23" t="s">
        <v>43</v>
      </c>
      <c r="Q23" t="b">
        <v>1</v>
      </c>
      <c r="R23" t="s">
        <v>55</v>
      </c>
      <c r="S23" t="s">
        <v>56</v>
      </c>
      <c r="T23" t="s">
        <v>57</v>
      </c>
      <c r="U23" t="s">
        <v>78</v>
      </c>
      <c r="V23" t="s">
        <v>50</v>
      </c>
      <c r="W23" t="s">
        <v>112</v>
      </c>
      <c r="X23" t="s">
        <v>80</v>
      </c>
      <c r="Y23">
        <v>9007199254741012</v>
      </c>
      <c r="Z23">
        <v>0</v>
      </c>
      <c r="AA23" t="s">
        <v>50</v>
      </c>
      <c r="AB23" t="b">
        <v>1</v>
      </c>
      <c r="AD23" s="3">
        <v>0.125</v>
      </c>
      <c r="AE23" s="2">
        <v>45921.5</v>
      </c>
      <c r="AF23" t="s">
        <v>60</v>
      </c>
    </row>
    <row r="24">
      <c r="A24" t="s">
        <v>113</v>
      </c>
      <c r="B24" s="2">
        <v>45920.5</v>
      </c>
      <c r="C24" t="s">
        <v>62</v>
      </c>
      <c r="D24" t="s">
        <f>'客户档案'!B5</f>
        <v>63</v>
      </c>
      <c r="E24" t="s">
        <v>39</v>
      </c>
      <c r="F24" t="s">
        <v>40</v>
      </c>
      <c r="G24" t="s">
        <f>'商品目录'!B3</f>
        <v>41</v>
      </c>
      <c r="H24" t="s">
        <v>42</v>
      </c>
      <c r="I24">
        <v>2</v>
      </c>
      <c r="J24" s="4">
        <v>99</v>
      </c>
      <c r="K24" s="4">
        <f>I24*J24</f>
        <v>198</v>
      </c>
      <c r="L24" s="3">
        <v>0</v>
      </c>
      <c r="M24" s="4">
        <f>K24*L24</f>
        <v>0</v>
      </c>
      <c r="N24" s="4">
        <v>20</v>
      </c>
      <c r="O24" s="4">
        <f>K24-M24+N24</f>
        <v>218</v>
      </c>
      <c r="P24" t="s">
        <v>43</v>
      </c>
      <c r="Q24" t="b">
        <v>0</v>
      </c>
      <c r="R24" t="s">
        <v>44</v>
      </c>
      <c r="S24" t="s">
        <v>68</v>
      </c>
      <c r="T24" t="s">
        <v>69</v>
      </c>
      <c r="U24" t="s">
        <v>39</v>
      </c>
      <c r="V24" t="s">
        <v>63</v>
      </c>
      <c r="W24" t="s">
        <v>114</v>
      </c>
      <c r="X24" t="s">
        <v>0</v>
      </c>
      <c r="Y24">
        <v>9007199254741013</v>
      </c>
      <c r="Z24">
        <v>0</v>
      </c>
      <c r="AA24" t="s">
        <v>63</v>
      </c>
      <c r="AB24" t="b">
        <v>0</v>
      </c>
      <c r="AD24" s="3">
        <v>0.125</v>
      </c>
      <c r="AE24" s="2">
        <v>45922.5</v>
      </c>
      <c r="AF24" t="s">
        <v>60</v>
      </c>
    </row>
    <row r="25">
      <c r="A25" t="s">
        <v>115</v>
      </c>
      <c r="B25" s="2">
        <v>45921.5</v>
      </c>
      <c r="C25" t="s">
        <v>37</v>
      </c>
      <c r="D25" t="s">
        <f>'客户档案'!B3</f>
        <v>38</v>
      </c>
      <c r="E25" t="s">
        <v>51</v>
      </c>
      <c r="F25" t="s">
        <v>52</v>
      </c>
      <c r="G25" t="s">
        <f>'商品目录'!B4</f>
        <v>53</v>
      </c>
      <c r="H25" t="s">
        <v>54</v>
      </c>
      <c r="I25">
        <v>4</v>
      </c>
      <c r="J25" s="4">
        <v>129</v>
      </c>
      <c r="K25" s="4">
        <f>I25*J25</f>
        <v>516</v>
      </c>
      <c r="L25" s="3">
        <v>0.5</v>
      </c>
      <c r="M25" s="4">
        <f>K25*L25</f>
        <v>258</v>
      </c>
      <c r="N25" s="4">
        <v>0</v>
      </c>
      <c r="O25" s="4">
        <f>K25-M25+N25</f>
        <v>258</v>
      </c>
      <c r="P25" t="s">
        <v>43</v>
      </c>
      <c r="Q25" t="b">
        <v>1</v>
      </c>
      <c r="R25" t="s">
        <v>55</v>
      </c>
      <c r="S25" t="s">
        <v>45</v>
      </c>
      <c r="T25" t="s">
        <v>46</v>
      </c>
      <c r="U25" t="s">
        <v>51</v>
      </c>
      <c r="V25" t="s">
        <v>38</v>
      </c>
      <c r="W25" t="s">
        <v>116</v>
      </c>
      <c r="X25" t="s">
        <v>59</v>
      </c>
      <c r="Y25">
        <v>9007199254741014</v>
      </c>
      <c r="Z25">
        <v>0</v>
      </c>
      <c r="AA25" t="s">
        <v>38</v>
      </c>
      <c r="AB25" t="b">
        <v>1</v>
      </c>
      <c r="AD25" s="3">
        <v>0.125</v>
      </c>
      <c r="AE25" s="2">
        <v>45923.5</v>
      </c>
      <c r="AF25" t="s">
        <v>60</v>
      </c>
    </row>
    <row r="26">
      <c r="A26" t="s">
        <v>117</v>
      </c>
      <c r="B26" s="2">
        <v>45922.5</v>
      </c>
      <c r="C26" t="s">
        <v>49</v>
      </c>
      <c r="D26" t="s">
        <f>'客户档案'!B4</f>
        <v>50</v>
      </c>
      <c r="E26" t="s">
        <v>64</v>
      </c>
      <c r="F26" t="s">
        <v>65</v>
      </c>
      <c r="G26" t="s">
        <f>'商品目录'!B5</f>
        <v>66</v>
      </c>
      <c r="H26" t="s">
        <v>67</v>
      </c>
      <c r="I26">
        <v>6</v>
      </c>
      <c r="J26" s="4">
        <v>45</v>
      </c>
      <c r="K26" s="4">
        <f>I26*J26</f>
        <v>270</v>
      </c>
      <c r="L26" s="3">
        <v>0</v>
      </c>
      <c r="M26" s="4">
        <f>K26*L26</f>
        <v>0</v>
      </c>
      <c r="N26" s="4">
        <v>10</v>
      </c>
      <c r="O26" s="4">
        <f>K26-M26+N26</f>
        <v>280</v>
      </c>
      <c r="P26" t="s">
        <v>43</v>
      </c>
      <c r="Q26" t="b">
        <v>1</v>
      </c>
      <c r="R26" t="s">
        <v>55</v>
      </c>
      <c r="S26" t="s">
        <v>56</v>
      </c>
      <c r="T26" t="s">
        <v>57</v>
      </c>
      <c r="U26" t="s">
        <v>70</v>
      </c>
      <c r="V26" t="s">
        <v>50</v>
      </c>
      <c r="W26" t="s">
        <v>118</v>
      </c>
      <c r="X26" t="s">
        <v>72</v>
      </c>
      <c r="Y26">
        <v>9007199254741015</v>
      </c>
      <c r="Z26">
        <v>0</v>
      </c>
      <c r="AA26" t="s">
        <v>50</v>
      </c>
      <c r="AB26" t="b">
        <v>0</v>
      </c>
      <c r="AD26" s="3">
        <v>0.125</v>
      </c>
      <c r="AE26" s="2">
        <v>45924.5</v>
      </c>
      <c r="AF26" t="s">
        <v>60</v>
      </c>
    </row>
    <row r="27">
      <c r="A27" t="s">
        <v>119</v>
      </c>
      <c r="B27" s="2">
        <v>45923.5</v>
      </c>
      <c r="C27" t="s">
        <v>62</v>
      </c>
      <c r="D27" t="s">
        <f>'客户档案'!B5</f>
        <v>63</v>
      </c>
      <c r="E27" t="s">
        <v>74</v>
      </c>
      <c r="F27" t="s">
        <v>75</v>
      </c>
      <c r="G27" t="s">
        <f>'商品目录'!B6</f>
        <v>76</v>
      </c>
      <c r="H27" t="s">
        <v>77</v>
      </c>
      <c r="I27">
        <v>8</v>
      </c>
      <c r="J27" s="4">
        <v>8</v>
      </c>
      <c r="K27" s="4">
        <f>I27*J27</f>
        <v>64</v>
      </c>
      <c r="L27" s="3">
        <v>0.5</v>
      </c>
      <c r="M27" s="4">
        <f>K27*L27</f>
        <v>32</v>
      </c>
      <c r="N27" s="4">
        <v>20</v>
      </c>
      <c r="O27" s="4">
        <f>K27-M27+N27</f>
        <v>52</v>
      </c>
      <c r="P27" t="s">
        <v>43</v>
      </c>
      <c r="Q27" t="b">
        <v>1</v>
      </c>
      <c r="R27" t="s">
        <v>55</v>
      </c>
      <c r="S27" t="s">
        <v>68</v>
      </c>
      <c r="T27" t="s">
        <v>69</v>
      </c>
      <c r="U27" t="s">
        <v>78</v>
      </c>
      <c r="V27" t="s">
        <v>63</v>
      </c>
      <c r="W27" t="s">
        <v>120</v>
      </c>
      <c r="X27" t="s">
        <v>80</v>
      </c>
      <c r="Y27">
        <v>9007199254741016</v>
      </c>
      <c r="Z27">
        <v>0</v>
      </c>
      <c r="AA27" t="s">
        <v>63</v>
      </c>
      <c r="AB27" t="b">
        <v>1</v>
      </c>
      <c r="AD27" s="3">
        <v>0.125</v>
      </c>
      <c r="AE27" s="2">
        <v>45925.5</v>
      </c>
      <c r="AF27" t="s">
        <v>60</v>
      </c>
    </row>
    <row r="28">
      <c r="A28" t="s">
        <v>121</v>
      </c>
      <c r="B28" s="2">
        <v>45924.5</v>
      </c>
      <c r="C28" t="s">
        <v>37</v>
      </c>
      <c r="D28" t="s">
        <f>'客户档案'!B3</f>
        <v>38</v>
      </c>
      <c r="E28" t="s">
        <v>39</v>
      </c>
      <c r="F28" t="s">
        <v>40</v>
      </c>
      <c r="G28" t="s">
        <f>'商品目录'!B3</f>
        <v>41</v>
      </c>
      <c r="H28" t="s">
        <v>42</v>
      </c>
      <c r="I28">
        <v>10</v>
      </c>
      <c r="J28" s="4">
        <v>99</v>
      </c>
      <c r="K28" s="4">
        <f>I28*J28</f>
        <v>990</v>
      </c>
      <c r="L28" s="3">
        <v>0</v>
      </c>
      <c r="M28" s="4">
        <f>K28*L28</f>
        <v>0</v>
      </c>
      <c r="N28" s="4">
        <v>0</v>
      </c>
      <c r="O28" s="4">
        <f>K28-M28+N28</f>
        <v>990</v>
      </c>
      <c r="P28" t="s">
        <v>43</v>
      </c>
      <c r="Q28" t="b">
        <v>0</v>
      </c>
      <c r="R28" t="s">
        <v>44</v>
      </c>
      <c r="S28" t="s">
        <v>45</v>
      </c>
      <c r="T28" t="s">
        <v>46</v>
      </c>
      <c r="U28" t="s">
        <v>39</v>
      </c>
      <c r="V28" t="s">
        <v>38</v>
      </c>
      <c r="W28" t="s">
        <v>122</v>
      </c>
      <c r="X28" t="s">
        <v>0</v>
      </c>
      <c r="Y28">
        <v>9007199254741017</v>
      </c>
      <c r="Z28">
        <v>0</v>
      </c>
      <c r="AA28" t="s">
        <v>38</v>
      </c>
      <c r="AB28" t="b">
        <v>0</v>
      </c>
      <c r="AD28" s="3">
        <v>0.125</v>
      </c>
      <c r="AE28" s="2">
        <v>45926.5</v>
      </c>
      <c r="AF28" t="s">
        <v>60</v>
      </c>
    </row>
    <row r="29">
      <c r="A29" t="s">
        <v>123</v>
      </c>
      <c r="B29" s="2">
        <v>45925.5</v>
      </c>
      <c r="C29" t="s">
        <v>49</v>
      </c>
      <c r="D29" t="s">
        <f>'客户档案'!B4</f>
        <v>50</v>
      </c>
      <c r="E29" t="s">
        <v>51</v>
      </c>
      <c r="F29" t="s">
        <v>52</v>
      </c>
      <c r="G29" t="s">
        <f>'商品目录'!B4</f>
        <v>53</v>
      </c>
      <c r="H29" t="s">
        <v>54</v>
      </c>
      <c r="I29">
        <v>2</v>
      </c>
      <c r="J29" s="4">
        <v>129</v>
      </c>
      <c r="K29" s="4">
        <f>I29*J29</f>
        <v>258</v>
      </c>
      <c r="L29" s="3">
        <v>0.5</v>
      </c>
      <c r="M29" s="4">
        <f>K29*L29</f>
        <v>129</v>
      </c>
      <c r="N29" s="4">
        <v>10</v>
      </c>
      <c r="O29" s="4">
        <f>K29-M29+N29</f>
        <v>139</v>
      </c>
      <c r="P29" t="s">
        <v>43</v>
      </c>
      <c r="Q29" t="b">
        <v>1</v>
      </c>
      <c r="R29" t="s">
        <v>55</v>
      </c>
      <c r="S29" t="s">
        <v>56</v>
      </c>
      <c r="T29" t="s">
        <v>57</v>
      </c>
      <c r="U29" t="s">
        <v>51</v>
      </c>
      <c r="V29" t="s">
        <v>50</v>
      </c>
      <c r="W29" t="s">
        <v>124</v>
      </c>
      <c r="X29" t="s">
        <v>59</v>
      </c>
      <c r="Y29">
        <v>9007199254741018</v>
      </c>
      <c r="Z29">
        <v>0</v>
      </c>
      <c r="AA29" t="s">
        <v>50</v>
      </c>
      <c r="AB29" t="b">
        <v>1</v>
      </c>
      <c r="AD29" s="3">
        <v>0.125</v>
      </c>
      <c r="AE29" s="2">
        <v>45927.5</v>
      </c>
      <c r="AF29" t="s">
        <v>60</v>
      </c>
    </row>
    <row r="30">
      <c r="A30" t="s">
        <v>125</v>
      </c>
      <c r="B30" s="2">
        <v>45926.5</v>
      </c>
      <c r="C30" t="s">
        <v>62</v>
      </c>
      <c r="D30" t="s">
        <f>'客户档案'!B5</f>
        <v>63</v>
      </c>
      <c r="E30" t="s">
        <v>64</v>
      </c>
      <c r="F30" t="s">
        <v>65</v>
      </c>
      <c r="G30" t="s">
        <f>'商品目录'!B5</f>
        <v>66</v>
      </c>
      <c r="H30" t="s">
        <v>67</v>
      </c>
      <c r="I30">
        <v>4</v>
      </c>
      <c r="J30" s="4">
        <v>45</v>
      </c>
      <c r="K30" s="4">
        <f>I30*J30</f>
        <v>180</v>
      </c>
      <c r="L30" s="3">
        <v>0</v>
      </c>
      <c r="M30" s="4">
        <f>K30*L30</f>
        <v>0</v>
      </c>
      <c r="N30" s="4">
        <v>20</v>
      </c>
      <c r="O30" s="4">
        <f>K30-M30+N30</f>
        <v>200</v>
      </c>
      <c r="P30" t="s">
        <v>43</v>
      </c>
      <c r="Q30" t="b">
        <v>1</v>
      </c>
      <c r="R30" t="s">
        <v>55</v>
      </c>
      <c r="S30" t="s">
        <v>68</v>
      </c>
      <c r="T30" t="s">
        <v>69</v>
      </c>
      <c r="U30" t="s">
        <v>70</v>
      </c>
      <c r="V30" t="s">
        <v>63</v>
      </c>
      <c r="W30" t="s">
        <v>126</v>
      </c>
      <c r="X30" t="s">
        <v>72</v>
      </c>
      <c r="Y30">
        <v>9007199254741019</v>
      </c>
      <c r="Z30">
        <v>0</v>
      </c>
      <c r="AA30" t="s">
        <v>63</v>
      </c>
      <c r="AB30" t="b">
        <v>0</v>
      </c>
      <c r="AD30" s="3">
        <v>0.125</v>
      </c>
      <c r="AE30" s="2">
        <v>45928.5</v>
      </c>
      <c r="AF30" t="s">
        <v>60</v>
      </c>
    </row>
    <row r="31">
      <c r="A31" t="s">
        <v>127</v>
      </c>
      <c r="B31" s="2">
        <v>45927.5</v>
      </c>
      <c r="C31" t="s">
        <v>37</v>
      </c>
      <c r="D31" t="s">
        <f>'客户档案'!B3</f>
        <v>38</v>
      </c>
      <c r="E31" t="s">
        <v>74</v>
      </c>
      <c r="F31" t="s">
        <v>75</v>
      </c>
      <c r="G31" t="s">
        <f>'商品目录'!B6</f>
        <v>76</v>
      </c>
      <c r="H31" t="s">
        <v>77</v>
      </c>
      <c r="I31">
        <v>6</v>
      </c>
      <c r="J31" s="4">
        <v>8</v>
      </c>
      <c r="K31" s="4">
        <f>I31*J31</f>
        <v>48</v>
      </c>
      <c r="L31" s="3">
        <v>0.5</v>
      </c>
      <c r="M31" s="4">
        <f>K31*L31</f>
        <v>24</v>
      </c>
      <c r="N31" s="4">
        <v>0</v>
      </c>
      <c r="O31" s="4">
        <f>K31-M31+N31</f>
        <v>24</v>
      </c>
      <c r="P31" t="s">
        <v>43</v>
      </c>
      <c r="Q31" t="b">
        <v>1</v>
      </c>
      <c r="R31" t="s">
        <v>55</v>
      </c>
      <c r="S31" t="s">
        <v>45</v>
      </c>
      <c r="T31" t="s">
        <v>46</v>
      </c>
      <c r="U31" t="s">
        <v>78</v>
      </c>
      <c r="V31" t="s">
        <v>38</v>
      </c>
      <c r="W31" t="s">
        <v>128</v>
      </c>
      <c r="X31" t="s">
        <v>80</v>
      </c>
      <c r="Y31">
        <v>9007199254741020</v>
      </c>
      <c r="Z31">
        <v>0</v>
      </c>
      <c r="AA31" t="s">
        <v>38</v>
      </c>
      <c r="AB31" t="b">
        <v>1</v>
      </c>
      <c r="AD31" s="3">
        <v>0.125</v>
      </c>
      <c r="AE31" s="2">
        <v>45929.5</v>
      </c>
      <c r="AF31" t="s">
        <v>60</v>
      </c>
    </row>
    <row r="32">
      <c r="A32" t="s">
        <v>129</v>
      </c>
      <c r="B32" s="2">
        <v>45900.5</v>
      </c>
      <c r="C32" t="s">
        <v>49</v>
      </c>
      <c r="D32" t="s">
        <f>'客户档案'!B4</f>
        <v>50</v>
      </c>
      <c r="E32" t="s">
        <v>39</v>
      </c>
      <c r="F32" t="s">
        <v>40</v>
      </c>
      <c r="G32" t="s">
        <f>'商品目录'!B3</f>
        <v>41</v>
      </c>
      <c r="H32" t="s">
        <v>42</v>
      </c>
      <c r="I32">
        <v>8</v>
      </c>
      <c r="J32" s="4">
        <v>99</v>
      </c>
      <c r="K32" s="4">
        <f>I32*J32</f>
        <v>792</v>
      </c>
      <c r="L32" s="3">
        <v>0</v>
      </c>
      <c r="M32" s="4">
        <f>K32*L32</f>
        <v>0</v>
      </c>
      <c r="N32" s="4">
        <v>10</v>
      </c>
      <c r="O32" s="4">
        <f>K32-M32+N32</f>
        <v>802</v>
      </c>
      <c r="P32" t="s">
        <v>43</v>
      </c>
      <c r="Q32" t="b">
        <v>0</v>
      </c>
      <c r="R32" t="s">
        <v>44</v>
      </c>
      <c r="S32" t="s">
        <v>56</v>
      </c>
      <c r="T32" t="s">
        <v>57</v>
      </c>
      <c r="U32" t="s">
        <v>39</v>
      </c>
      <c r="V32" t="s">
        <v>50</v>
      </c>
      <c r="W32" t="s">
        <v>130</v>
      </c>
      <c r="X32" t="s">
        <v>0</v>
      </c>
      <c r="Y32">
        <v>9007199254741021</v>
      </c>
      <c r="Z32">
        <v>0</v>
      </c>
      <c r="AA32" t="s">
        <v>50</v>
      </c>
      <c r="AB32" t="b">
        <v>0</v>
      </c>
      <c r="AD32" s="3">
        <v>0.125</v>
      </c>
      <c r="AE32" s="2">
        <v>45902.5</v>
      </c>
      <c r="AF32" t="s">
        <v>60</v>
      </c>
    </row>
    <row r="33">
      <c r="A33" t="s">
        <v>131</v>
      </c>
      <c r="B33" s="2">
        <v>45901.5</v>
      </c>
      <c r="C33" t="s">
        <v>62</v>
      </c>
      <c r="D33" t="s">
        <f>'客户档案'!B5</f>
        <v>63</v>
      </c>
      <c r="E33" t="s">
        <v>51</v>
      </c>
      <c r="F33" t="s">
        <v>52</v>
      </c>
      <c r="G33" t="s">
        <f>'商品目录'!B4</f>
        <v>53</v>
      </c>
      <c r="H33" t="s">
        <v>54</v>
      </c>
      <c r="I33">
        <v>10</v>
      </c>
      <c r="J33" s="4">
        <v>129</v>
      </c>
      <c r="K33" s="4">
        <f>I33*J33</f>
        <v>1290</v>
      </c>
      <c r="L33" s="3">
        <v>0.5</v>
      </c>
      <c r="M33" s="4">
        <f>K33*L33</f>
        <v>645</v>
      </c>
      <c r="N33" s="4">
        <v>20</v>
      </c>
      <c r="O33" s="4">
        <f>K33-M33+N33</f>
        <v>665</v>
      </c>
      <c r="P33" t="s">
        <v>43</v>
      </c>
      <c r="Q33" t="b">
        <v>1</v>
      </c>
      <c r="R33" t="s">
        <v>55</v>
      </c>
      <c r="S33" t="s">
        <v>68</v>
      </c>
      <c r="T33" t="s">
        <v>69</v>
      </c>
      <c r="U33" t="s">
        <v>51</v>
      </c>
      <c r="V33" t="s">
        <v>63</v>
      </c>
      <c r="W33" t="s">
        <v>132</v>
      </c>
      <c r="X33" t="s">
        <v>59</v>
      </c>
      <c r="Y33">
        <v>9007199254741022</v>
      </c>
      <c r="Z33">
        <v>0</v>
      </c>
      <c r="AA33" t="s">
        <v>63</v>
      </c>
      <c r="AB33" t="b">
        <v>1</v>
      </c>
      <c r="AD33" s="3">
        <v>0.125</v>
      </c>
      <c r="AE33" s="2">
        <v>45903.5</v>
      </c>
      <c r="AF33" t="s">
        <v>60</v>
      </c>
    </row>
    <row r="34">
      <c r="A34" t="s">
        <v>133</v>
      </c>
      <c r="B34" s="2">
        <v>45902.5</v>
      </c>
      <c r="C34" t="s">
        <v>37</v>
      </c>
      <c r="D34" t="s">
        <f>'客户档案'!B3</f>
        <v>38</v>
      </c>
      <c r="E34" t="s">
        <v>64</v>
      </c>
      <c r="F34" t="s">
        <v>65</v>
      </c>
      <c r="G34" t="s">
        <f>'商品目录'!B5</f>
        <v>66</v>
      </c>
      <c r="H34" t="s">
        <v>67</v>
      </c>
      <c r="I34">
        <v>2</v>
      </c>
      <c r="J34" s="4">
        <v>45</v>
      </c>
      <c r="K34" s="4">
        <f>I34*J34</f>
        <v>90</v>
      </c>
      <c r="L34" s="3">
        <v>0</v>
      </c>
      <c r="M34" s="4">
        <f>K34*L34</f>
        <v>0</v>
      </c>
      <c r="N34" s="4">
        <v>0</v>
      </c>
      <c r="O34" s="4">
        <f>K34-M34+N34</f>
        <v>90</v>
      </c>
      <c r="P34" t="s">
        <v>43</v>
      </c>
      <c r="Q34" t="b">
        <v>1</v>
      </c>
      <c r="R34" t="s">
        <v>55</v>
      </c>
      <c r="S34" t="s">
        <v>45</v>
      </c>
      <c r="T34" t="s">
        <v>46</v>
      </c>
      <c r="U34" t="s">
        <v>70</v>
      </c>
      <c r="V34" t="s">
        <v>38</v>
      </c>
      <c r="W34" t="s">
        <v>134</v>
      </c>
      <c r="X34" t="s">
        <v>72</v>
      </c>
      <c r="Y34">
        <v>9007199254741023</v>
      </c>
      <c r="Z34">
        <v>0</v>
      </c>
      <c r="AA34" t="s">
        <v>38</v>
      </c>
      <c r="AB34" t="b">
        <v>0</v>
      </c>
      <c r="AD34" s="3">
        <v>0.125</v>
      </c>
      <c r="AE34" s="2">
        <v>45904.5</v>
      </c>
      <c r="AF34" t="s">
        <v>60</v>
      </c>
    </row>
    <row r="35">
      <c r="A35" t="s">
        <v>135</v>
      </c>
      <c r="B35" s="2">
        <v>45903.5</v>
      </c>
      <c r="C35" t="s">
        <v>49</v>
      </c>
      <c r="D35" t="s">
        <f>'客户档案'!B4</f>
        <v>50</v>
      </c>
      <c r="E35" t="s">
        <v>74</v>
      </c>
      <c r="F35" t="s">
        <v>75</v>
      </c>
      <c r="G35" t="s">
        <f>'商品目录'!B6</f>
        <v>76</v>
      </c>
      <c r="H35" t="s">
        <v>77</v>
      </c>
      <c r="I35">
        <v>4</v>
      </c>
      <c r="J35" s="4">
        <v>8</v>
      </c>
      <c r="K35" s="4">
        <f>I35*J35</f>
        <v>32</v>
      </c>
      <c r="L35" s="3">
        <v>0.5</v>
      </c>
      <c r="M35" s="4">
        <f>K35*L35</f>
        <v>16</v>
      </c>
      <c r="N35" s="4">
        <v>10</v>
      </c>
      <c r="O35" s="4">
        <f>K35-M35+N35</f>
        <v>26</v>
      </c>
      <c r="P35" t="s">
        <v>43</v>
      </c>
      <c r="Q35" t="b">
        <v>1</v>
      </c>
      <c r="R35" t="s">
        <v>55</v>
      </c>
      <c r="S35" t="s">
        <v>56</v>
      </c>
      <c r="T35" t="s">
        <v>57</v>
      </c>
      <c r="U35" t="s">
        <v>78</v>
      </c>
      <c r="V35" t="s">
        <v>50</v>
      </c>
      <c r="W35" t="s">
        <v>136</v>
      </c>
      <c r="X35" t="s">
        <v>80</v>
      </c>
      <c r="Y35">
        <v>9007199254741024</v>
      </c>
      <c r="Z35">
        <v>0</v>
      </c>
      <c r="AA35" t="s">
        <v>50</v>
      </c>
      <c r="AB35" t="b">
        <v>1</v>
      </c>
      <c r="AD35" s="3">
        <v>0.125</v>
      </c>
      <c r="AE35" s="2">
        <v>45905.5</v>
      </c>
      <c r="AF35" t="s">
        <v>60</v>
      </c>
    </row>
    <row r="36">
      <c r="A36" t="s">
        <v>137</v>
      </c>
      <c r="B36" s="2">
        <v>45904.5</v>
      </c>
      <c r="C36" t="s">
        <v>62</v>
      </c>
      <c r="D36" t="s">
        <f>'客户档案'!B5</f>
        <v>63</v>
      </c>
      <c r="E36" t="s">
        <v>39</v>
      </c>
      <c r="F36" t="s">
        <v>40</v>
      </c>
      <c r="G36" t="s">
        <f>'商品目录'!B3</f>
        <v>41</v>
      </c>
      <c r="H36" t="s">
        <v>42</v>
      </c>
      <c r="I36">
        <v>6</v>
      </c>
      <c r="J36" s="4">
        <v>99</v>
      </c>
      <c r="K36" s="4">
        <f>I36*J36</f>
        <v>594</v>
      </c>
      <c r="L36" s="3">
        <v>0</v>
      </c>
      <c r="M36" s="4">
        <f>K36*L36</f>
        <v>0</v>
      </c>
      <c r="N36" s="4">
        <v>20</v>
      </c>
      <c r="O36" s="4">
        <f>K36-M36+N36</f>
        <v>614</v>
      </c>
      <c r="P36" t="s">
        <v>43</v>
      </c>
      <c r="Q36" t="b">
        <v>0</v>
      </c>
      <c r="R36" t="s">
        <v>44</v>
      </c>
      <c r="S36" t="s">
        <v>68</v>
      </c>
      <c r="T36" t="s">
        <v>69</v>
      </c>
      <c r="U36" t="s">
        <v>39</v>
      </c>
      <c r="V36" t="s">
        <v>63</v>
      </c>
      <c r="W36" t="s">
        <v>138</v>
      </c>
      <c r="X36" t="s">
        <v>0</v>
      </c>
      <c r="Y36">
        <v>9007199254741025</v>
      </c>
      <c r="Z36">
        <v>0</v>
      </c>
      <c r="AA36" t="s">
        <v>63</v>
      </c>
      <c r="AB36" t="b">
        <v>0</v>
      </c>
      <c r="AD36" s="3">
        <v>0.125</v>
      </c>
      <c r="AE36" s="2">
        <v>45906.5</v>
      </c>
      <c r="AF36" t="s">
        <v>60</v>
      </c>
    </row>
    <row r="37">
      <c r="A37" t="s">
        <v>139</v>
      </c>
      <c r="B37" s="2">
        <v>45905.5</v>
      </c>
      <c r="C37" t="s">
        <v>37</v>
      </c>
      <c r="D37" t="s">
        <f>'客户档案'!B3</f>
        <v>38</v>
      </c>
      <c r="E37" t="s">
        <v>51</v>
      </c>
      <c r="F37" t="s">
        <v>52</v>
      </c>
      <c r="G37" t="s">
        <f>'商品目录'!B4</f>
        <v>53</v>
      </c>
      <c r="H37" t="s">
        <v>54</v>
      </c>
      <c r="I37">
        <v>8</v>
      </c>
      <c r="J37" s="4">
        <v>129</v>
      </c>
      <c r="K37" s="4">
        <f>I37*J37</f>
        <v>1032</v>
      </c>
      <c r="L37" s="3">
        <v>0.5</v>
      </c>
      <c r="M37" s="4">
        <f>K37*L37</f>
        <v>516</v>
      </c>
      <c r="N37" s="4">
        <v>0</v>
      </c>
      <c r="O37" s="4">
        <f>K37-M37+N37</f>
        <v>516</v>
      </c>
      <c r="P37" t="s">
        <v>43</v>
      </c>
      <c r="Q37" t="b">
        <v>1</v>
      </c>
      <c r="R37" t="s">
        <v>55</v>
      </c>
      <c r="S37" t="s">
        <v>45</v>
      </c>
      <c r="T37" t="s">
        <v>46</v>
      </c>
      <c r="U37" t="s">
        <v>51</v>
      </c>
      <c r="V37" t="s">
        <v>38</v>
      </c>
      <c r="W37" t="s">
        <v>140</v>
      </c>
      <c r="X37" t="s">
        <v>59</v>
      </c>
      <c r="Y37">
        <v>9007199254741026</v>
      </c>
      <c r="Z37">
        <v>0</v>
      </c>
      <c r="AA37" t="s">
        <v>38</v>
      </c>
      <c r="AB37" t="b">
        <v>1</v>
      </c>
      <c r="AD37" s="3">
        <v>0.125</v>
      </c>
      <c r="AE37" s="2">
        <v>45907.5</v>
      </c>
      <c r="AF37" t="s">
        <v>60</v>
      </c>
    </row>
    <row r="38">
      <c r="A38" t="s">
        <v>141</v>
      </c>
      <c r="B38" s="2">
        <v>45906.5</v>
      </c>
      <c r="C38" t="s">
        <v>49</v>
      </c>
      <c r="D38" t="s">
        <f>'客户档案'!B4</f>
        <v>50</v>
      </c>
      <c r="E38" t="s">
        <v>64</v>
      </c>
      <c r="F38" t="s">
        <v>65</v>
      </c>
      <c r="G38" t="s">
        <f>'商品目录'!B5</f>
        <v>66</v>
      </c>
      <c r="H38" t="s">
        <v>67</v>
      </c>
      <c r="I38">
        <v>10</v>
      </c>
      <c r="J38" s="4">
        <v>45</v>
      </c>
      <c r="K38" s="4">
        <f>I38*J38</f>
        <v>450</v>
      </c>
      <c r="L38" s="3">
        <v>0</v>
      </c>
      <c r="M38" s="4">
        <f>K38*L38</f>
        <v>0</v>
      </c>
      <c r="N38" s="4">
        <v>10</v>
      </c>
      <c r="O38" s="4">
        <f>K38-M38+N38</f>
        <v>460</v>
      </c>
      <c r="P38" t="s">
        <v>43</v>
      </c>
      <c r="Q38" t="b">
        <v>1</v>
      </c>
      <c r="R38" t="s">
        <v>55</v>
      </c>
      <c r="S38" t="s">
        <v>56</v>
      </c>
      <c r="T38" t="s">
        <v>57</v>
      </c>
      <c r="U38" t="s">
        <v>70</v>
      </c>
      <c r="V38" t="s">
        <v>50</v>
      </c>
      <c r="W38" t="s">
        <v>142</v>
      </c>
      <c r="X38" t="s">
        <v>72</v>
      </c>
      <c r="Y38">
        <v>9007199254741027</v>
      </c>
      <c r="Z38">
        <v>2</v>
      </c>
      <c r="AA38" t="s">
        <v>50</v>
      </c>
      <c r="AB38" t="b">
        <v>0</v>
      </c>
      <c r="AD38" s="3">
        <v>0.125</v>
      </c>
      <c r="AE38" s="2">
        <v>45908.5</v>
      </c>
      <c r="AF38" t="s">
        <v>60</v>
      </c>
    </row>
    <row r="39">
      <c r="A39" t="s">
        <v>143</v>
      </c>
      <c r="B39" s="2">
        <v>45907.5</v>
      </c>
      <c r="C39" t="s">
        <v>62</v>
      </c>
      <c r="D39" t="s">
        <f>'客户档案'!B5</f>
        <v>63</v>
      </c>
      <c r="E39" t="s">
        <v>74</v>
      </c>
      <c r="F39" t="s">
        <v>75</v>
      </c>
      <c r="G39" t="s">
        <f>'商品目录'!B6</f>
        <v>76</v>
      </c>
      <c r="H39" t="s">
        <v>77</v>
      </c>
      <c r="I39">
        <v>2</v>
      </c>
      <c r="J39" s="4">
        <v>8</v>
      </c>
      <c r="K39" s="4">
        <f>I39*J39</f>
        <v>16</v>
      </c>
      <c r="L39" s="3">
        <v>0.5</v>
      </c>
      <c r="M39" s="4">
        <f>K39*L39</f>
        <v>8</v>
      </c>
      <c r="N39" s="4">
        <v>20</v>
      </c>
      <c r="O39" s="4">
        <f>K39-M39+N39</f>
        <v>28</v>
      </c>
      <c r="P39" t="s">
        <v>43</v>
      </c>
      <c r="Q39" t="b">
        <v>1</v>
      </c>
      <c r="R39" t="s">
        <v>55</v>
      </c>
      <c r="S39" t="s">
        <v>68</v>
      </c>
      <c r="T39" t="s">
        <v>69</v>
      </c>
      <c r="U39" t="s">
        <v>78</v>
      </c>
      <c r="V39" t="s">
        <v>63</v>
      </c>
      <c r="W39" t="s">
        <v>144</v>
      </c>
      <c r="X39" t="s">
        <v>80</v>
      </c>
      <c r="Y39">
        <v>9007199254741028</v>
      </c>
      <c r="Z39">
        <v>0</v>
      </c>
      <c r="AA39" t="s">
        <v>63</v>
      </c>
      <c r="AB39" t="b">
        <v>1</v>
      </c>
      <c r="AD39" s="3">
        <v>0.125</v>
      </c>
      <c r="AE39" s="2">
        <v>45909.5</v>
      </c>
      <c r="AF39" t="s">
        <v>60</v>
      </c>
    </row>
    <row r="40">
      <c r="A40" t="s">
        <v>145</v>
      </c>
      <c r="B40" s="2">
        <v>45908.5</v>
      </c>
      <c r="C40" t="s">
        <v>37</v>
      </c>
      <c r="D40" t="s">
        <f>'客户档案'!B3</f>
        <v>38</v>
      </c>
      <c r="E40" t="s">
        <v>39</v>
      </c>
      <c r="F40" t="s">
        <v>40</v>
      </c>
      <c r="G40" t="s">
        <f>'商品目录'!B3</f>
        <v>41</v>
      </c>
      <c r="H40" t="s">
        <v>42</v>
      </c>
      <c r="I40">
        <v>4</v>
      </c>
      <c r="J40" s="4">
        <v>99</v>
      </c>
      <c r="K40" s="4">
        <f>I40*J40</f>
        <v>396</v>
      </c>
      <c r="L40" s="3">
        <v>0</v>
      </c>
      <c r="M40" s="4">
        <f>K40*L40</f>
        <v>0</v>
      </c>
      <c r="N40" s="4">
        <v>0</v>
      </c>
      <c r="O40" s="4">
        <f>K40-M40+N40</f>
        <v>396</v>
      </c>
      <c r="P40" t="s">
        <v>43</v>
      </c>
      <c r="Q40" t="b">
        <v>0</v>
      </c>
      <c r="R40" t="s">
        <v>44</v>
      </c>
      <c r="S40" t="s">
        <v>45</v>
      </c>
      <c r="T40" t="s">
        <v>46</v>
      </c>
      <c r="U40" t="s">
        <v>39</v>
      </c>
      <c r="V40" t="s">
        <v>38</v>
      </c>
      <c r="W40" t="s">
        <v>146</v>
      </c>
      <c r="X40" t="s">
        <v>0</v>
      </c>
      <c r="Y40">
        <v>9007199254741029</v>
      </c>
      <c r="Z40">
        <v>0</v>
      </c>
      <c r="AA40" t="s">
        <v>38</v>
      </c>
      <c r="AB40" t="b">
        <v>0</v>
      </c>
      <c r="AD40" s="3">
        <v>0.125</v>
      </c>
      <c r="AE40" s="2">
        <v>45910.5</v>
      </c>
      <c r="AF40" t="s">
        <v>60</v>
      </c>
    </row>
    <row r="41">
      <c r="A41" t="s">
        <v>147</v>
      </c>
      <c r="B41" s="2">
        <v>45909.5</v>
      </c>
      <c r="C41" t="s">
        <v>49</v>
      </c>
      <c r="D41" t="s">
        <f>'客户档案'!B4</f>
        <v>50</v>
      </c>
      <c r="E41" t="s">
        <v>51</v>
      </c>
      <c r="F41" t="s">
        <v>52</v>
      </c>
      <c r="G41" t="s">
        <f>'商品目录'!B4</f>
        <v>53</v>
      </c>
      <c r="H41" t="s">
        <v>54</v>
      </c>
      <c r="I41">
        <v>6</v>
      </c>
      <c r="J41" s="4">
        <v>129</v>
      </c>
      <c r="K41" s="4">
        <f>I41*J41</f>
        <v>774</v>
      </c>
      <c r="L41" s="3">
        <v>0.5</v>
      </c>
      <c r="M41" s="4">
        <f>K41*L41</f>
        <v>387</v>
      </c>
      <c r="N41" s="4">
        <v>10</v>
      </c>
      <c r="O41" s="4">
        <f>K41-M41+N41</f>
        <v>397</v>
      </c>
      <c r="P41" t="s">
        <v>43</v>
      </c>
      <c r="Q41" t="b">
        <v>1</v>
      </c>
      <c r="R41" t="s">
        <v>55</v>
      </c>
      <c r="S41" t="s">
        <v>56</v>
      </c>
      <c r="T41" t="s">
        <v>57</v>
      </c>
      <c r="U41" t="s">
        <v>51</v>
      </c>
      <c r="V41" t="s">
        <v>50</v>
      </c>
      <c r="W41" t="s">
        <v>148</v>
      </c>
      <c r="X41" t="s">
        <v>59</v>
      </c>
      <c r="Y41">
        <v>9007199254741030</v>
      </c>
      <c r="Z41">
        <v>0</v>
      </c>
      <c r="AA41" t="s">
        <v>50</v>
      </c>
      <c r="AB41" t="b">
        <v>1</v>
      </c>
      <c r="AD41" s="3">
        <v>0.125</v>
      </c>
      <c r="AE41" s="2">
        <v>45911.5</v>
      </c>
      <c r="AF41" t="s">
        <v>60</v>
      </c>
    </row>
    <row r="42">
      <c r="A42" t="s">
        <v>149</v>
      </c>
      <c r="B42" s="2">
        <v>45910.5</v>
      </c>
      <c r="C42" t="s">
        <v>62</v>
      </c>
      <c r="D42" t="s">
        <f>'客户档案'!B5</f>
        <v>63</v>
      </c>
      <c r="E42" t="s">
        <v>64</v>
      </c>
      <c r="F42" t="s">
        <v>65</v>
      </c>
      <c r="G42" t="s">
        <f>'商品目录'!B5</f>
        <v>66</v>
      </c>
      <c r="H42" t="s">
        <v>67</v>
      </c>
      <c r="I42">
        <v>8</v>
      </c>
      <c r="J42" s="4">
        <v>45</v>
      </c>
      <c r="K42" s="4">
        <f>I42*J42</f>
        <v>360</v>
      </c>
      <c r="L42" s="3">
        <v>0</v>
      </c>
      <c r="M42" s="4">
        <f>K42*L42</f>
        <v>0</v>
      </c>
      <c r="N42" s="4">
        <v>20</v>
      </c>
      <c r="O42" s="4">
        <f>K42-M42+N42</f>
        <v>380</v>
      </c>
      <c r="P42" t="s">
        <v>43</v>
      </c>
      <c r="Q42" t="b">
        <v>1</v>
      </c>
      <c r="R42" t="s">
        <v>55</v>
      </c>
      <c r="S42" t="s">
        <v>68</v>
      </c>
      <c r="T42" t="s">
        <v>69</v>
      </c>
      <c r="U42" t="s">
        <v>70</v>
      </c>
      <c r="V42" t="s">
        <v>63</v>
      </c>
      <c r="W42" t="s">
        <v>150</v>
      </c>
      <c r="X42" t="s">
        <v>72</v>
      </c>
      <c r="Y42">
        <v>9007199254741031</v>
      </c>
      <c r="Z42">
        <v>0</v>
      </c>
      <c r="AA42" t="s">
        <v>63</v>
      </c>
      <c r="AB42" t="b">
        <v>0</v>
      </c>
      <c r="AD42" s="3">
        <v>0.125</v>
      </c>
      <c r="AE42" s="2">
        <v>45912.5</v>
      </c>
      <c r="AF42" t="s">
        <v>60</v>
      </c>
    </row>
    <row r="43">
      <c r="A43" t="s">
        <v>151</v>
      </c>
      <c r="B43" s="2">
        <v>45911.5</v>
      </c>
      <c r="C43" t="s">
        <v>37</v>
      </c>
      <c r="D43" t="s">
        <f>'客户档案'!B3</f>
        <v>38</v>
      </c>
      <c r="E43" t="s">
        <v>74</v>
      </c>
      <c r="F43" t="s">
        <v>75</v>
      </c>
      <c r="G43" t="s">
        <f>'商品目录'!B6</f>
        <v>76</v>
      </c>
      <c r="H43" t="s">
        <v>77</v>
      </c>
      <c r="I43">
        <v>10</v>
      </c>
      <c r="J43" s="4">
        <v>8</v>
      </c>
      <c r="K43" s="4">
        <f>I43*J43</f>
        <v>80</v>
      </c>
      <c r="L43" s="3">
        <v>0.5</v>
      </c>
      <c r="M43" s="4">
        <f>K43*L43</f>
        <v>40</v>
      </c>
      <c r="N43" s="4">
        <v>0</v>
      </c>
      <c r="O43" s="4">
        <f>K43-M43+N43</f>
        <v>40</v>
      </c>
      <c r="P43" t="s">
        <v>43</v>
      </c>
      <c r="Q43" t="b">
        <v>1</v>
      </c>
      <c r="R43" t="s">
        <v>55</v>
      </c>
      <c r="S43" t="s">
        <v>45</v>
      </c>
      <c r="T43" t="s">
        <v>46</v>
      </c>
      <c r="U43" t="s">
        <v>78</v>
      </c>
      <c r="V43" t="s">
        <v>38</v>
      </c>
      <c r="W43" t="s">
        <v>152</v>
      </c>
      <c r="X43" t="s">
        <v>80</v>
      </c>
      <c r="Y43">
        <v>9007199254741032</v>
      </c>
      <c r="Z43">
        <v>0</v>
      </c>
      <c r="AA43" t="s">
        <v>38</v>
      </c>
      <c r="AB43" t="b">
        <v>1</v>
      </c>
      <c r="AD43" s="3">
        <v>0.125</v>
      </c>
      <c r="AE43" s="2">
        <v>45913.5</v>
      </c>
      <c r="AF43" t="s">
        <v>60</v>
      </c>
    </row>
    <row r="44">
      <c r="A44" t="s">
        <v>153</v>
      </c>
      <c r="B44" s="2">
        <v>45912.5</v>
      </c>
      <c r="C44" t="s">
        <v>49</v>
      </c>
      <c r="D44" t="s">
        <f>'客户档案'!B4</f>
        <v>50</v>
      </c>
      <c r="E44" t="s">
        <v>39</v>
      </c>
      <c r="F44" t="s">
        <v>40</v>
      </c>
      <c r="G44" t="s">
        <f>'商品目录'!B3</f>
        <v>41</v>
      </c>
      <c r="H44" t="s">
        <v>42</v>
      </c>
      <c r="I44">
        <v>2</v>
      </c>
      <c r="J44" s="4">
        <v>99</v>
      </c>
      <c r="K44" s="4">
        <f>I44*J44</f>
        <v>198</v>
      </c>
      <c r="L44" s="3">
        <v>0</v>
      </c>
      <c r="M44" s="4">
        <f>K44*L44</f>
        <v>0</v>
      </c>
      <c r="N44" s="4">
        <v>10</v>
      </c>
      <c r="O44" s="4">
        <f>K44-M44+N44</f>
        <v>208</v>
      </c>
      <c r="P44" t="s">
        <v>43</v>
      </c>
      <c r="Q44" t="b">
        <v>0</v>
      </c>
      <c r="R44" t="s">
        <v>44</v>
      </c>
      <c r="S44" t="s">
        <v>56</v>
      </c>
      <c r="T44" t="s">
        <v>57</v>
      </c>
      <c r="U44" t="s">
        <v>39</v>
      </c>
      <c r="V44" t="s">
        <v>50</v>
      </c>
      <c r="W44" t="s">
        <v>154</v>
      </c>
      <c r="X44" t="s">
        <v>0</v>
      </c>
      <c r="Y44">
        <v>9007199254741033</v>
      </c>
      <c r="Z44">
        <v>0</v>
      </c>
      <c r="AA44" t="s">
        <v>50</v>
      </c>
      <c r="AB44" t="b">
        <v>0</v>
      </c>
      <c r="AD44" s="3">
        <v>0.125</v>
      </c>
      <c r="AE44" s="2">
        <v>45914.5</v>
      </c>
      <c r="AF44" t="s">
        <v>60</v>
      </c>
    </row>
    <row r="45">
      <c r="A45" t="s">
        <v>155</v>
      </c>
      <c r="B45" s="2">
        <v>45913.5</v>
      </c>
      <c r="C45" t="s">
        <v>62</v>
      </c>
      <c r="D45" t="s">
        <f>'客户档案'!B5</f>
        <v>63</v>
      </c>
      <c r="E45" t="s">
        <v>51</v>
      </c>
      <c r="F45" t="s">
        <v>52</v>
      </c>
      <c r="G45" t="s">
        <f>'商品目录'!B4</f>
        <v>53</v>
      </c>
      <c r="H45" t="s">
        <v>54</v>
      </c>
      <c r="I45">
        <v>4</v>
      </c>
      <c r="J45" s="4">
        <v>129</v>
      </c>
      <c r="K45" s="4">
        <f>I45*J45</f>
        <v>516</v>
      </c>
      <c r="L45" s="3">
        <v>0.5</v>
      </c>
      <c r="M45" s="4">
        <f>K45*L45</f>
        <v>258</v>
      </c>
      <c r="N45" s="4">
        <v>20</v>
      </c>
      <c r="O45" s="4">
        <f>K45-M45+N45</f>
        <v>278</v>
      </c>
      <c r="P45" t="s">
        <v>43</v>
      </c>
      <c r="Q45" t="b">
        <v>1</v>
      </c>
      <c r="R45" t="s">
        <v>55</v>
      </c>
      <c r="S45" t="s">
        <v>68</v>
      </c>
      <c r="T45" t="s">
        <v>69</v>
      </c>
      <c r="U45" t="s">
        <v>51</v>
      </c>
      <c r="V45" t="s">
        <v>63</v>
      </c>
      <c r="W45" t="s">
        <v>156</v>
      </c>
      <c r="X45" t="s">
        <v>59</v>
      </c>
      <c r="Y45">
        <v>9007199254741034</v>
      </c>
      <c r="Z45">
        <v>0</v>
      </c>
      <c r="AA45" t="s">
        <v>63</v>
      </c>
      <c r="AB45" t="b">
        <v>1</v>
      </c>
      <c r="AD45" s="3">
        <v>0.125</v>
      </c>
      <c r="AE45" s="2">
        <v>45915.5</v>
      </c>
      <c r="AF45" t="s">
        <v>60</v>
      </c>
    </row>
    <row r="46">
      <c r="A46" t="s">
        <v>157</v>
      </c>
      <c r="B46" s="2">
        <v>45914.5</v>
      </c>
      <c r="C46" t="s">
        <v>37</v>
      </c>
      <c r="D46" t="s">
        <f>'客户档案'!B3</f>
        <v>38</v>
      </c>
      <c r="E46" t="s">
        <v>64</v>
      </c>
      <c r="F46" t="s">
        <v>65</v>
      </c>
      <c r="G46" t="s">
        <f>'商品目录'!B5</f>
        <v>66</v>
      </c>
      <c r="H46" t="s">
        <v>67</v>
      </c>
      <c r="I46">
        <v>6</v>
      </c>
      <c r="J46" s="4">
        <v>45</v>
      </c>
      <c r="K46" s="4">
        <f>I46*J46</f>
        <v>270</v>
      </c>
      <c r="L46" s="3">
        <v>0</v>
      </c>
      <c r="M46" s="4">
        <f>K46*L46</f>
        <v>0</v>
      </c>
      <c r="N46" s="4">
        <v>0</v>
      </c>
      <c r="O46" s="4">
        <f>K46-M46+N46</f>
        <v>270</v>
      </c>
      <c r="P46" t="s">
        <v>43</v>
      </c>
      <c r="Q46" t="b">
        <v>1</v>
      </c>
      <c r="R46" t="s">
        <v>55</v>
      </c>
      <c r="S46" t="s">
        <v>45</v>
      </c>
      <c r="T46" t="s">
        <v>46</v>
      </c>
      <c r="U46" t="s">
        <v>70</v>
      </c>
      <c r="V46" t="s">
        <v>38</v>
      </c>
      <c r="W46" t="s">
        <v>158</v>
      </c>
      <c r="X46" t="s">
        <v>72</v>
      </c>
      <c r="Y46">
        <v>9007199254741035</v>
      </c>
      <c r="Z46">
        <v>0</v>
      </c>
      <c r="AA46" t="s">
        <v>38</v>
      </c>
      <c r="AB46" t="b">
        <v>0</v>
      </c>
      <c r="AD46" s="3">
        <v>0.125</v>
      </c>
      <c r="AE46" s="2">
        <v>45916.5</v>
      </c>
      <c r="AF46" t="s">
        <v>60</v>
      </c>
    </row>
    <row r="47">
      <c r="A47" t="s">
        <v>159</v>
      </c>
      <c r="B47" s="2">
        <v>45915.5</v>
      </c>
      <c r="C47" t="s">
        <v>49</v>
      </c>
      <c r="D47" t="s">
        <f>'客户档案'!B4</f>
        <v>50</v>
      </c>
      <c r="E47" t="s">
        <v>74</v>
      </c>
      <c r="F47" t="s">
        <v>75</v>
      </c>
      <c r="G47" t="s">
        <f>'商品目录'!B6</f>
        <v>76</v>
      </c>
      <c r="H47" t="s">
        <v>77</v>
      </c>
      <c r="I47">
        <v>8</v>
      </c>
      <c r="J47" s="4">
        <v>8</v>
      </c>
      <c r="K47" s="4">
        <f>I47*J47</f>
        <v>64</v>
      </c>
      <c r="L47" s="3">
        <v>0.5</v>
      </c>
      <c r="M47" s="4">
        <f>K47*L47</f>
        <v>32</v>
      </c>
      <c r="N47" s="4">
        <v>10</v>
      </c>
      <c r="O47" s="4">
        <f>K47-M47+N47</f>
        <v>42</v>
      </c>
      <c r="P47" t="s">
        <v>43</v>
      </c>
      <c r="Q47" t="b">
        <v>1</v>
      </c>
      <c r="R47" t="s">
        <v>55</v>
      </c>
      <c r="S47" t="s">
        <v>56</v>
      </c>
      <c r="T47" t="s">
        <v>57</v>
      </c>
      <c r="U47" t="s">
        <v>78</v>
      </c>
      <c r="V47" t="s">
        <v>50</v>
      </c>
      <c r="W47" t="s">
        <v>160</v>
      </c>
      <c r="X47" t="s">
        <v>80</v>
      </c>
      <c r="Y47">
        <v>9007199254741036</v>
      </c>
      <c r="Z47">
        <v>0</v>
      </c>
      <c r="AA47" t="s">
        <v>50</v>
      </c>
      <c r="AB47" t="b">
        <v>1</v>
      </c>
      <c r="AD47" s="3">
        <v>0.125</v>
      </c>
      <c r="AE47" s="2">
        <v>45917.5</v>
      </c>
      <c r="AF47" t="s">
        <v>60</v>
      </c>
    </row>
    <row r="48">
      <c r="A48" t="s">
        <v>161</v>
      </c>
      <c r="B48" s="2">
        <v>45916.5</v>
      </c>
      <c r="C48" t="s">
        <v>62</v>
      </c>
      <c r="D48" t="s">
        <f>'客户档案'!B5</f>
        <v>63</v>
      </c>
      <c r="E48" t="s">
        <v>39</v>
      </c>
      <c r="F48" t="s">
        <v>40</v>
      </c>
      <c r="G48" t="s">
        <f>'商品目录'!B3</f>
        <v>41</v>
      </c>
      <c r="H48" t="s">
        <v>42</v>
      </c>
      <c r="I48">
        <v>10</v>
      </c>
      <c r="J48" s="4">
        <v>99</v>
      </c>
      <c r="K48" s="4">
        <f>I48*J48</f>
        <v>990</v>
      </c>
      <c r="L48" s="3">
        <v>0</v>
      </c>
      <c r="M48" s="4">
        <f>K48*L48</f>
        <v>0</v>
      </c>
      <c r="N48" s="4">
        <v>20</v>
      </c>
      <c r="O48" s="4">
        <f>K48-M48+N48</f>
        <v>1010</v>
      </c>
      <c r="P48" t="s">
        <v>43</v>
      </c>
      <c r="Q48" t="b">
        <v>0</v>
      </c>
      <c r="R48" t="s">
        <v>44</v>
      </c>
      <c r="S48" t="s">
        <v>68</v>
      </c>
      <c r="T48" t="s">
        <v>69</v>
      </c>
      <c r="U48" t="s">
        <v>39</v>
      </c>
      <c r="V48" t="s">
        <v>63</v>
      </c>
      <c r="W48" t="s">
        <v>162</v>
      </c>
      <c r="X48" t="s">
        <v>0</v>
      </c>
      <c r="Y48">
        <v>9007199254741037</v>
      </c>
      <c r="Z48">
        <v>0</v>
      </c>
      <c r="AA48" t="s">
        <v>63</v>
      </c>
      <c r="AB48" t="b">
        <v>0</v>
      </c>
      <c r="AD48" s="3">
        <v>0.125</v>
      </c>
      <c r="AE48" s="2">
        <v>45918.5</v>
      </c>
      <c r="AF48" t="s">
        <v>60</v>
      </c>
    </row>
    <row r="49">
      <c r="A49" t="s">
        <v>163</v>
      </c>
      <c r="B49" s="2">
        <v>45917.5</v>
      </c>
      <c r="C49" t="s">
        <v>37</v>
      </c>
      <c r="D49" t="s">
        <f>'客户档案'!B3</f>
        <v>38</v>
      </c>
      <c r="E49" t="s">
        <v>51</v>
      </c>
      <c r="F49" t="s">
        <v>52</v>
      </c>
      <c r="G49" t="s">
        <f>'商品目录'!B4</f>
        <v>53</v>
      </c>
      <c r="H49" t="s">
        <v>54</v>
      </c>
      <c r="I49">
        <v>2</v>
      </c>
      <c r="J49" s="4">
        <v>129</v>
      </c>
      <c r="K49" s="4">
        <f>I49*J49</f>
        <v>258</v>
      </c>
      <c r="L49" s="3">
        <v>0.5</v>
      </c>
      <c r="M49" s="4">
        <f>K49*L49</f>
        <v>129</v>
      </c>
      <c r="N49" s="4">
        <v>0</v>
      </c>
      <c r="O49" s="4">
        <f>K49-M49+N49</f>
        <v>129</v>
      </c>
      <c r="P49" t="s">
        <v>43</v>
      </c>
      <c r="Q49" t="b">
        <v>1</v>
      </c>
      <c r="R49" t="s">
        <v>55</v>
      </c>
      <c r="S49" t="s">
        <v>45</v>
      </c>
      <c r="T49" t="s">
        <v>46</v>
      </c>
      <c r="U49" t="s">
        <v>51</v>
      </c>
      <c r="V49" t="s">
        <v>38</v>
      </c>
      <c r="W49" t="s">
        <v>164</v>
      </c>
      <c r="X49" t="s">
        <v>59</v>
      </c>
      <c r="Y49">
        <v>9007199254741038</v>
      </c>
      <c r="Z49">
        <v>0</v>
      </c>
      <c r="AA49" t="s">
        <v>38</v>
      </c>
      <c r="AB49" t="b">
        <v>1</v>
      </c>
      <c r="AD49" s="3">
        <v>0.125</v>
      </c>
      <c r="AE49" s="2">
        <v>45919.5</v>
      </c>
      <c r="AF49" t="s">
        <v>60</v>
      </c>
    </row>
    <row r="50">
      <c r="A50" t="s">
        <v>165</v>
      </c>
      <c r="B50" s="2">
        <v>45918.5</v>
      </c>
      <c r="C50" t="s">
        <v>49</v>
      </c>
      <c r="D50" t="s">
        <f>'客户档案'!B4</f>
        <v>50</v>
      </c>
      <c r="E50" t="s">
        <v>64</v>
      </c>
      <c r="F50" t="s">
        <v>65</v>
      </c>
      <c r="G50" t="s">
        <f>'商品目录'!B5</f>
        <v>66</v>
      </c>
      <c r="H50" t="s">
        <v>67</v>
      </c>
      <c r="I50">
        <v>4</v>
      </c>
      <c r="J50" s="4">
        <v>45</v>
      </c>
      <c r="K50" s="4">
        <f>I50*J50</f>
        <v>180</v>
      </c>
      <c r="L50" s="3">
        <v>0</v>
      </c>
      <c r="M50" s="4">
        <f>K50*L50</f>
        <v>0</v>
      </c>
      <c r="N50" s="4">
        <v>10</v>
      </c>
      <c r="O50" s="4">
        <f>K50-M50+N50</f>
        <v>190</v>
      </c>
      <c r="P50" t="s">
        <v>43</v>
      </c>
      <c r="Q50" t="b">
        <v>1</v>
      </c>
      <c r="R50" t="s">
        <v>55</v>
      </c>
      <c r="S50" t="s">
        <v>56</v>
      </c>
      <c r="T50" t="s">
        <v>57</v>
      </c>
      <c r="U50" t="s">
        <v>70</v>
      </c>
      <c r="V50" t="s">
        <v>50</v>
      </c>
      <c r="W50" t="s">
        <v>166</v>
      </c>
      <c r="X50" t="s">
        <v>72</v>
      </c>
      <c r="Y50">
        <v>9007199254741039</v>
      </c>
      <c r="Z50">
        <v>0</v>
      </c>
      <c r="AA50" t="s">
        <v>50</v>
      </c>
      <c r="AB50" t="b">
        <v>0</v>
      </c>
      <c r="AD50" s="3">
        <v>0.125</v>
      </c>
      <c r="AE50" s="2">
        <v>45920.5</v>
      </c>
      <c r="AF50" t="s">
        <v>60</v>
      </c>
    </row>
    <row r="51">
      <c r="A51" t="s">
        <v>167</v>
      </c>
      <c r="B51" s="2">
        <v>45919.5</v>
      </c>
      <c r="C51" t="s">
        <v>62</v>
      </c>
      <c r="D51" t="s">
        <f>'客户档案'!B5</f>
        <v>63</v>
      </c>
      <c r="E51" t="s">
        <v>74</v>
      </c>
      <c r="F51" t="s">
        <v>75</v>
      </c>
      <c r="G51" t="s">
        <f>'商品目录'!B6</f>
        <v>76</v>
      </c>
      <c r="H51" t="s">
        <v>77</v>
      </c>
      <c r="I51">
        <v>6</v>
      </c>
      <c r="J51" s="4">
        <v>8</v>
      </c>
      <c r="K51" s="4">
        <f>I51*J51</f>
        <v>48</v>
      </c>
      <c r="L51" s="3">
        <v>0.5</v>
      </c>
      <c r="M51" s="4">
        <f>K51*L51</f>
        <v>24</v>
      </c>
      <c r="N51" s="4">
        <v>20</v>
      </c>
      <c r="O51" s="4">
        <f>K51-M51+N51</f>
        <v>44</v>
      </c>
      <c r="P51" t="s">
        <v>43</v>
      </c>
      <c r="Q51" t="b">
        <v>1</v>
      </c>
      <c r="R51" t="s">
        <v>55</v>
      </c>
      <c r="S51" t="s">
        <v>68</v>
      </c>
      <c r="T51" t="s">
        <v>69</v>
      </c>
      <c r="U51" t="s">
        <v>78</v>
      </c>
      <c r="V51" t="s">
        <v>63</v>
      </c>
      <c r="W51" t="s">
        <v>168</v>
      </c>
      <c r="X51" t="s">
        <v>80</v>
      </c>
      <c r="Y51">
        <v>9007199254741040</v>
      </c>
      <c r="Z51">
        <v>0</v>
      </c>
      <c r="AA51" t="s">
        <v>63</v>
      </c>
      <c r="AB51" t="b">
        <v>1</v>
      </c>
      <c r="AD51" s="3">
        <v>0.125</v>
      </c>
      <c r="AE51" s="2">
        <v>45921.5</v>
      </c>
      <c r="AF51" t="s">
        <v>60</v>
      </c>
    </row>
    <row r="52">
      <c r="A52" t="s">
        <v>169</v>
      </c>
      <c r="B52" s="2">
        <v>45920.5</v>
      </c>
      <c r="C52" t="s">
        <v>37</v>
      </c>
      <c r="D52" t="s">
        <f>'客户档案'!B3</f>
        <v>38</v>
      </c>
      <c r="E52" t="s">
        <v>39</v>
      </c>
      <c r="F52" t="s">
        <v>40</v>
      </c>
      <c r="G52" t="s">
        <f>'商品目录'!B3</f>
        <v>41</v>
      </c>
      <c r="H52" t="s">
        <v>42</v>
      </c>
      <c r="I52">
        <v>8</v>
      </c>
      <c r="J52" s="4">
        <v>99</v>
      </c>
      <c r="K52" s="4">
        <f>I52*J52</f>
        <v>792</v>
      </c>
      <c r="L52" s="3">
        <v>0</v>
      </c>
      <c r="M52" s="4">
        <f>K52*L52</f>
        <v>0</v>
      </c>
      <c r="N52" s="4">
        <v>0</v>
      </c>
      <c r="O52" s="4">
        <f>K52-M52+N52</f>
        <v>792</v>
      </c>
      <c r="P52" t="s">
        <v>43</v>
      </c>
      <c r="Q52" t="b">
        <v>0</v>
      </c>
      <c r="R52" t="s">
        <v>44</v>
      </c>
      <c r="S52" t="s">
        <v>45</v>
      </c>
      <c r="T52" t="s">
        <v>46</v>
      </c>
      <c r="U52" t="s">
        <v>39</v>
      </c>
      <c r="V52" t="s">
        <v>38</v>
      </c>
      <c r="W52" t="s">
        <v>170</v>
      </c>
      <c r="X52" t="s">
        <v>0</v>
      </c>
      <c r="Y52">
        <v>9007199254741041</v>
      </c>
      <c r="Z52">
        <v>0</v>
      </c>
      <c r="AA52" t="s">
        <v>38</v>
      </c>
      <c r="AB52" t="b">
        <v>0</v>
      </c>
      <c r="AD52" s="3">
        <v>0.125</v>
      </c>
      <c r="AE52" s="2">
        <v>45922.5</v>
      </c>
      <c r="AF52" t="s">
        <v>60</v>
      </c>
    </row>
    <row r="53">
      <c r="A53" t="s">
        <v>171</v>
      </c>
      <c r="B53" s="2">
        <v>45921.5</v>
      </c>
      <c r="C53" t="s">
        <v>49</v>
      </c>
      <c r="D53" t="s">
        <f>'客户档案'!B4</f>
        <v>50</v>
      </c>
      <c r="E53" t="s">
        <v>51</v>
      </c>
      <c r="F53" t="s">
        <v>52</v>
      </c>
      <c r="G53" t="s">
        <f>'商品目录'!B4</f>
        <v>53</v>
      </c>
      <c r="H53" t="s">
        <v>54</v>
      </c>
      <c r="I53">
        <v>10</v>
      </c>
      <c r="J53" s="4">
        <v>129</v>
      </c>
      <c r="K53" s="4">
        <f>I53*J53</f>
        <v>1290</v>
      </c>
      <c r="L53" s="3">
        <v>0.5</v>
      </c>
      <c r="M53" s="4">
        <f>K53*L53</f>
        <v>645</v>
      </c>
      <c r="N53" s="4">
        <v>10</v>
      </c>
      <c r="O53" s="4">
        <f>K53-M53+N53</f>
        <v>655</v>
      </c>
      <c r="P53" t="s">
        <v>43</v>
      </c>
      <c r="Q53" t="b">
        <v>1</v>
      </c>
      <c r="R53" t="s">
        <v>55</v>
      </c>
      <c r="S53" t="s">
        <v>56</v>
      </c>
      <c r="T53" t="s">
        <v>57</v>
      </c>
      <c r="U53" t="s">
        <v>51</v>
      </c>
      <c r="V53" t="s">
        <v>50</v>
      </c>
      <c r="W53" t="s">
        <v>172</v>
      </c>
      <c r="X53" t="s">
        <v>59</v>
      </c>
      <c r="Y53">
        <v>9007199254741042</v>
      </c>
      <c r="Z53">
        <v>0</v>
      </c>
      <c r="AA53" t="s">
        <v>50</v>
      </c>
      <c r="AB53" t="b">
        <v>1</v>
      </c>
      <c r="AD53" s="3">
        <v>0.125</v>
      </c>
      <c r="AE53" s="2">
        <v>45923.5</v>
      </c>
      <c r="AF53" t="s">
        <v>60</v>
      </c>
    </row>
    <row r="54">
      <c r="A54" t="s">
        <v>173</v>
      </c>
      <c r="B54" s="2">
        <v>45922.5</v>
      </c>
      <c r="C54" t="s">
        <v>62</v>
      </c>
      <c r="D54" t="s">
        <f>'客户档案'!B5</f>
        <v>63</v>
      </c>
      <c r="E54" t="s">
        <v>64</v>
      </c>
      <c r="F54" t="s">
        <v>65</v>
      </c>
      <c r="G54" t="s">
        <f>'商品目录'!B5</f>
        <v>66</v>
      </c>
      <c r="H54" t="s">
        <v>67</v>
      </c>
      <c r="I54">
        <v>2</v>
      </c>
      <c r="J54" s="4">
        <v>45</v>
      </c>
      <c r="K54" s="4">
        <f>I54*J54</f>
        <v>90</v>
      </c>
      <c r="L54" s="3">
        <v>0</v>
      </c>
      <c r="M54" s="4">
        <f>K54*L54</f>
        <v>0</v>
      </c>
      <c r="N54" s="4">
        <v>20</v>
      </c>
      <c r="O54" s="4">
        <f>K54-M54+N54</f>
        <v>110</v>
      </c>
      <c r="P54" t="s">
        <v>43</v>
      </c>
      <c r="Q54" t="b">
        <v>1</v>
      </c>
      <c r="R54" t="s">
        <v>55</v>
      </c>
      <c r="S54" t="s">
        <v>68</v>
      </c>
      <c r="T54" t="s">
        <v>69</v>
      </c>
      <c r="U54" t="s">
        <v>70</v>
      </c>
      <c r="V54" t="s">
        <v>63</v>
      </c>
      <c r="W54" t="s">
        <v>174</v>
      </c>
      <c r="X54" t="s">
        <v>72</v>
      </c>
      <c r="Y54">
        <v>9007199254741043</v>
      </c>
      <c r="Z54">
        <v>0</v>
      </c>
      <c r="AA54" t="s">
        <v>63</v>
      </c>
      <c r="AB54" t="b">
        <v>0</v>
      </c>
      <c r="AD54" s="3">
        <v>0.125</v>
      </c>
      <c r="AE54" s="2">
        <v>45924.5</v>
      </c>
      <c r="AF54" t="s">
        <v>60</v>
      </c>
    </row>
    <row r="55">
      <c r="A55" t="s">
        <v>175</v>
      </c>
      <c r="B55" s="2">
        <v>45923.5</v>
      </c>
      <c r="C55" t="s">
        <v>37</v>
      </c>
      <c r="D55" t="s">
        <f>'客户档案'!B3</f>
        <v>38</v>
      </c>
      <c r="E55" t="s">
        <v>74</v>
      </c>
      <c r="F55" t="s">
        <v>75</v>
      </c>
      <c r="G55" t="s">
        <f>'商品目录'!B6</f>
        <v>76</v>
      </c>
      <c r="H55" t="s">
        <v>77</v>
      </c>
      <c r="I55">
        <v>4</v>
      </c>
      <c r="J55" s="4">
        <v>8</v>
      </c>
      <c r="K55" s="4">
        <f>I55*J55</f>
        <v>32</v>
      </c>
      <c r="L55" s="3">
        <v>0.5</v>
      </c>
      <c r="M55" s="4">
        <f>K55*L55</f>
        <v>16</v>
      </c>
      <c r="N55" s="4">
        <v>0</v>
      </c>
      <c r="O55" s="4">
        <f>K55-M55+N55</f>
        <v>16</v>
      </c>
      <c r="P55" t="s">
        <v>43</v>
      </c>
      <c r="Q55" t="b">
        <v>1</v>
      </c>
      <c r="R55" t="s">
        <v>55</v>
      </c>
      <c r="S55" t="s">
        <v>45</v>
      </c>
      <c r="T55" t="s">
        <v>46</v>
      </c>
      <c r="U55" t="s">
        <v>78</v>
      </c>
      <c r="V55" t="s">
        <v>38</v>
      </c>
      <c r="W55" t="s">
        <v>176</v>
      </c>
      <c r="X55" t="s">
        <v>80</v>
      </c>
      <c r="Y55">
        <v>9007199254741044</v>
      </c>
      <c r="Z55">
        <v>2</v>
      </c>
      <c r="AA55" t="s">
        <v>38</v>
      </c>
      <c r="AB55" t="b">
        <v>1</v>
      </c>
      <c r="AD55" s="3">
        <v>0.125</v>
      </c>
      <c r="AE55" s="2">
        <v>45925.5</v>
      </c>
      <c r="AF55" t="s">
        <v>60</v>
      </c>
    </row>
    <row r="56">
      <c r="A56" t="s">
        <v>177</v>
      </c>
      <c r="B56" s="2">
        <v>45924.5</v>
      </c>
      <c r="C56" t="s">
        <v>49</v>
      </c>
      <c r="D56" t="s">
        <f>'客户档案'!B4</f>
        <v>50</v>
      </c>
      <c r="E56" t="s">
        <v>39</v>
      </c>
      <c r="F56" t="s">
        <v>40</v>
      </c>
      <c r="G56" t="s">
        <f>'商品目录'!B3</f>
        <v>41</v>
      </c>
      <c r="H56" t="s">
        <v>42</v>
      </c>
      <c r="I56">
        <v>6</v>
      </c>
      <c r="J56" s="4">
        <v>99</v>
      </c>
      <c r="K56" s="4">
        <f>I56*J56</f>
        <v>594</v>
      </c>
      <c r="L56" s="3">
        <v>0</v>
      </c>
      <c r="M56" s="4">
        <f>K56*L56</f>
        <v>0</v>
      </c>
      <c r="N56" s="4">
        <v>10</v>
      </c>
      <c r="O56" s="4">
        <f>K56-M56+N56</f>
        <v>604</v>
      </c>
      <c r="P56" t="s">
        <v>43</v>
      </c>
      <c r="Q56" t="b">
        <v>0</v>
      </c>
      <c r="R56" t="s">
        <v>44</v>
      </c>
      <c r="S56" t="s">
        <v>56</v>
      </c>
      <c r="T56" t="s">
        <v>57</v>
      </c>
      <c r="U56" t="s">
        <v>39</v>
      </c>
      <c r="V56" t="s">
        <v>50</v>
      </c>
      <c r="W56" t="s">
        <v>178</v>
      </c>
      <c r="X56" t="s">
        <v>0</v>
      </c>
      <c r="Y56">
        <v>9007199254741045</v>
      </c>
      <c r="Z56">
        <v>0</v>
      </c>
      <c r="AA56" t="s">
        <v>50</v>
      </c>
      <c r="AB56" t="b">
        <v>0</v>
      </c>
      <c r="AD56" s="3">
        <v>0.125</v>
      </c>
      <c r="AE56" s="2">
        <v>45926.5</v>
      </c>
      <c r="AF56" t="s">
        <v>60</v>
      </c>
    </row>
    <row r="57">
      <c r="A57" t="s">
        <v>179</v>
      </c>
      <c r="B57" s="2">
        <v>45925.5</v>
      </c>
      <c r="C57" t="s">
        <v>62</v>
      </c>
      <c r="D57" t="s">
        <f>'客户档案'!B5</f>
        <v>63</v>
      </c>
      <c r="E57" t="s">
        <v>51</v>
      </c>
      <c r="F57" t="s">
        <v>52</v>
      </c>
      <c r="G57" t="s">
        <f>'商品目录'!B4</f>
        <v>53</v>
      </c>
      <c r="H57" t="s">
        <v>54</v>
      </c>
      <c r="I57">
        <v>8</v>
      </c>
      <c r="J57" s="4">
        <v>129</v>
      </c>
      <c r="K57" s="4">
        <f>I57*J57</f>
        <v>1032</v>
      </c>
      <c r="L57" s="3">
        <v>0.5</v>
      </c>
      <c r="M57" s="4">
        <f>K57*L57</f>
        <v>516</v>
      </c>
      <c r="N57" s="4">
        <v>20</v>
      </c>
      <c r="O57" s="4">
        <f>K57-M57+N57</f>
        <v>536</v>
      </c>
      <c r="P57" t="s">
        <v>43</v>
      </c>
      <c r="Q57" t="b">
        <v>1</v>
      </c>
      <c r="R57" t="s">
        <v>55</v>
      </c>
      <c r="S57" t="s">
        <v>68</v>
      </c>
      <c r="T57" t="s">
        <v>69</v>
      </c>
      <c r="U57" t="s">
        <v>51</v>
      </c>
      <c r="V57" t="s">
        <v>63</v>
      </c>
      <c r="W57" t="s">
        <v>180</v>
      </c>
      <c r="X57" t="s">
        <v>59</v>
      </c>
      <c r="Y57">
        <v>9007199254741046</v>
      </c>
      <c r="Z57">
        <v>0</v>
      </c>
      <c r="AA57" t="s">
        <v>63</v>
      </c>
      <c r="AB57" t="b">
        <v>1</v>
      </c>
      <c r="AD57" s="3">
        <v>0.125</v>
      </c>
      <c r="AE57" s="2">
        <v>45927.5</v>
      </c>
      <c r="AF57" t="s">
        <v>60</v>
      </c>
    </row>
    <row r="58">
      <c r="A58" t="s">
        <v>181</v>
      </c>
      <c r="B58" s="2">
        <v>45926.5</v>
      </c>
      <c r="C58" t="s">
        <v>37</v>
      </c>
      <c r="D58" t="s">
        <f>'客户档案'!B3</f>
        <v>38</v>
      </c>
      <c r="E58" t="s">
        <v>64</v>
      </c>
      <c r="F58" t="s">
        <v>65</v>
      </c>
      <c r="G58" t="s">
        <f>'商品目录'!B5</f>
        <v>66</v>
      </c>
      <c r="H58" t="s">
        <v>67</v>
      </c>
      <c r="I58">
        <v>10</v>
      </c>
      <c r="J58" s="4">
        <v>45</v>
      </c>
      <c r="K58" s="4">
        <f>I58*J58</f>
        <v>450</v>
      </c>
      <c r="L58" s="3">
        <v>0</v>
      </c>
      <c r="M58" s="4">
        <f>K58*L58</f>
        <v>0</v>
      </c>
      <c r="N58" s="4">
        <v>0</v>
      </c>
      <c r="O58" s="4">
        <f>K58-M58+N58</f>
        <v>450</v>
      </c>
      <c r="P58" t="s">
        <v>43</v>
      </c>
      <c r="Q58" t="b">
        <v>1</v>
      </c>
      <c r="R58" t="s">
        <v>55</v>
      </c>
      <c r="S58" t="s">
        <v>45</v>
      </c>
      <c r="T58" t="s">
        <v>46</v>
      </c>
      <c r="U58" t="s">
        <v>70</v>
      </c>
      <c r="V58" t="s">
        <v>38</v>
      </c>
      <c r="W58" t="s">
        <v>182</v>
      </c>
      <c r="X58" t="s">
        <v>72</v>
      </c>
      <c r="Y58">
        <v>9007199254741047</v>
      </c>
      <c r="Z58">
        <v>0</v>
      </c>
      <c r="AA58" t="s">
        <v>38</v>
      </c>
      <c r="AB58" t="b">
        <v>0</v>
      </c>
      <c r="AD58" s="3">
        <v>0.125</v>
      </c>
      <c r="AE58" s="2">
        <v>45928.5</v>
      </c>
      <c r="AF58" t="s">
        <v>60</v>
      </c>
    </row>
    <row r="59">
      <c r="A59" t="s">
        <v>183</v>
      </c>
      <c r="B59" s="2">
        <v>45927.5</v>
      </c>
      <c r="C59" t="s">
        <v>49</v>
      </c>
      <c r="D59" t="s">
        <f>'客户档案'!B4</f>
        <v>50</v>
      </c>
      <c r="E59" t="s">
        <v>74</v>
      </c>
      <c r="F59" t="s">
        <v>75</v>
      </c>
      <c r="G59" t="s">
        <f>'商品目录'!B6</f>
        <v>76</v>
      </c>
      <c r="H59" t="s">
        <v>77</v>
      </c>
      <c r="I59">
        <v>2</v>
      </c>
      <c r="J59" s="4">
        <v>8</v>
      </c>
      <c r="K59" s="4">
        <f>I59*J59</f>
        <v>16</v>
      </c>
      <c r="L59" s="3">
        <v>0.5</v>
      </c>
      <c r="M59" s="4">
        <f>K59*L59</f>
        <v>8</v>
      </c>
      <c r="N59" s="4">
        <v>10</v>
      </c>
      <c r="O59" s="4">
        <f>K59-M59+N59</f>
        <v>18</v>
      </c>
      <c r="P59" t="s">
        <v>43</v>
      </c>
      <c r="Q59" t="b">
        <v>1</v>
      </c>
      <c r="R59" t="s">
        <v>55</v>
      </c>
      <c r="S59" t="s">
        <v>56</v>
      </c>
      <c r="T59" t="s">
        <v>57</v>
      </c>
      <c r="U59" t="s">
        <v>78</v>
      </c>
      <c r="V59" t="s">
        <v>50</v>
      </c>
      <c r="W59" t="s">
        <v>184</v>
      </c>
      <c r="X59" t="s">
        <v>80</v>
      </c>
      <c r="Y59">
        <v>9007199254741048</v>
      </c>
      <c r="Z59">
        <v>0</v>
      </c>
      <c r="AA59" t="s">
        <v>50</v>
      </c>
      <c r="AB59" t="b">
        <v>1</v>
      </c>
      <c r="AD59" s="3">
        <v>0.125</v>
      </c>
      <c r="AE59" s="2">
        <v>45929.5</v>
      </c>
      <c r="AF59" t="s">
        <v>60</v>
      </c>
    </row>
    <row r="60">
      <c r="A60" t="s">
        <v>185</v>
      </c>
      <c r="B60" s="2">
        <v>45900.5</v>
      </c>
      <c r="C60" t="s">
        <v>62</v>
      </c>
      <c r="D60" t="s">
        <f>'客户档案'!B5</f>
        <v>63</v>
      </c>
      <c r="E60" t="s">
        <v>39</v>
      </c>
      <c r="F60" t="s">
        <v>40</v>
      </c>
      <c r="G60" t="s">
        <f>'商品目录'!B3</f>
        <v>41</v>
      </c>
      <c r="H60" t="s">
        <v>42</v>
      </c>
      <c r="I60">
        <v>4</v>
      </c>
      <c r="J60" s="4">
        <v>99</v>
      </c>
      <c r="K60" s="4">
        <f>I60*J60</f>
        <v>396</v>
      </c>
      <c r="L60" s="3">
        <v>0</v>
      </c>
      <c r="M60" s="4">
        <f>K60*L60</f>
        <v>0</v>
      </c>
      <c r="N60" s="4">
        <v>20</v>
      </c>
      <c r="O60" s="4">
        <f>K60-M60+N60</f>
        <v>416</v>
      </c>
      <c r="P60" t="s">
        <v>43</v>
      </c>
      <c r="Q60" t="b">
        <v>0</v>
      </c>
      <c r="R60" t="s">
        <v>44</v>
      </c>
      <c r="S60" t="s">
        <v>68</v>
      </c>
      <c r="T60" t="s">
        <v>69</v>
      </c>
      <c r="U60" t="s">
        <v>39</v>
      </c>
      <c r="V60" t="s">
        <v>63</v>
      </c>
      <c r="W60" t="s">
        <v>186</v>
      </c>
      <c r="X60" t="s">
        <v>0</v>
      </c>
      <c r="Y60">
        <v>9007199254741049</v>
      </c>
      <c r="Z60">
        <v>0</v>
      </c>
      <c r="AA60" t="s">
        <v>63</v>
      </c>
      <c r="AB60" t="b">
        <v>0</v>
      </c>
      <c r="AD60" s="3">
        <v>0.125</v>
      </c>
      <c r="AE60" s="2">
        <v>45902.5</v>
      </c>
      <c r="AF60" t="s">
        <v>60</v>
      </c>
    </row>
    <row r="61">
      <c r="A61" t="s">
        <v>187</v>
      </c>
      <c r="B61" s="2">
        <v>45901.5</v>
      </c>
      <c r="C61" t="s">
        <v>37</v>
      </c>
      <c r="D61" t="s">
        <f>'客户档案'!B3</f>
        <v>38</v>
      </c>
      <c r="E61" t="s">
        <v>51</v>
      </c>
      <c r="F61" t="s">
        <v>52</v>
      </c>
      <c r="G61" t="s">
        <f>'商品目录'!B4</f>
        <v>53</v>
      </c>
      <c r="H61" t="s">
        <v>54</v>
      </c>
      <c r="I61">
        <v>6</v>
      </c>
      <c r="J61" s="4">
        <v>129</v>
      </c>
      <c r="K61" s="4">
        <f>I61*J61</f>
        <v>774</v>
      </c>
      <c r="L61" s="3">
        <v>0.5</v>
      </c>
      <c r="M61" s="4">
        <f>K61*L61</f>
        <v>387</v>
      </c>
      <c r="N61" s="4">
        <v>0</v>
      </c>
      <c r="O61" s="4">
        <f>K61-M61+N61</f>
        <v>387</v>
      </c>
      <c r="P61" t="s">
        <v>43</v>
      </c>
      <c r="Q61" t="b">
        <v>1</v>
      </c>
      <c r="R61" t="s">
        <v>55</v>
      </c>
      <c r="S61" t="s">
        <v>45</v>
      </c>
      <c r="T61" t="s">
        <v>46</v>
      </c>
      <c r="U61" t="s">
        <v>51</v>
      </c>
      <c r="V61" t="s">
        <v>38</v>
      </c>
      <c r="W61" t="s">
        <v>188</v>
      </c>
      <c r="X61" t="s">
        <v>59</v>
      </c>
      <c r="Y61">
        <v>9007199254741050</v>
      </c>
      <c r="Z61">
        <v>0</v>
      </c>
      <c r="AA61" t="s">
        <v>38</v>
      </c>
      <c r="AB61" t="b">
        <v>1</v>
      </c>
      <c r="AD61" s="3">
        <v>0.125</v>
      </c>
      <c r="AE61" s="2">
        <v>45903.5</v>
      </c>
      <c r="AF61" t="s">
        <v>60</v>
      </c>
    </row>
    <row r="62">
      <c r="A62" t="s">
        <v>189</v>
      </c>
      <c r="B62" s="2">
        <v>45902.5</v>
      </c>
      <c r="C62" t="s">
        <v>49</v>
      </c>
      <c r="D62" t="s">
        <f>'客户档案'!B4</f>
        <v>50</v>
      </c>
      <c r="E62" t="s">
        <v>64</v>
      </c>
      <c r="F62" t="s">
        <v>65</v>
      </c>
      <c r="G62" t="s">
        <f>'商品目录'!B5</f>
        <v>66</v>
      </c>
      <c r="H62" t="s">
        <v>67</v>
      </c>
      <c r="I62">
        <v>8</v>
      </c>
      <c r="J62" s="4">
        <v>45</v>
      </c>
      <c r="K62" s="4">
        <f>I62*J62</f>
        <v>360</v>
      </c>
      <c r="L62" s="3">
        <v>0</v>
      </c>
      <c r="M62" s="4">
        <f>K62*L62</f>
        <v>0</v>
      </c>
      <c r="N62" s="4">
        <v>10</v>
      </c>
      <c r="O62" s="4">
        <f>K62-M62+N62</f>
        <v>370</v>
      </c>
      <c r="P62" t="s">
        <v>43</v>
      </c>
      <c r="Q62" t="b">
        <v>1</v>
      </c>
      <c r="R62" t="s">
        <v>55</v>
      </c>
      <c r="S62" t="s">
        <v>56</v>
      </c>
      <c r="T62" t="s">
        <v>57</v>
      </c>
      <c r="U62" t="s">
        <v>70</v>
      </c>
      <c r="V62" t="s">
        <v>50</v>
      </c>
      <c r="W62" t="s">
        <v>190</v>
      </c>
      <c r="X62" t="s">
        <v>72</v>
      </c>
      <c r="Y62">
        <v>9007199254741051</v>
      </c>
      <c r="Z62">
        <v>0</v>
      </c>
      <c r="AA62" t="s">
        <v>50</v>
      </c>
      <c r="AB62" t="b">
        <v>0</v>
      </c>
      <c r="AD62" s="3">
        <v>0.125</v>
      </c>
      <c r="AE62" s="2">
        <v>45904.5</v>
      </c>
      <c r="AF62" t="s">
        <v>60</v>
      </c>
    </row>
    <row r="63">
      <c r="A63" t="s">
        <v>191</v>
      </c>
      <c r="B63" s="2">
        <v>45903.5</v>
      </c>
      <c r="C63" t="s">
        <v>62</v>
      </c>
      <c r="D63" t="s">
        <f>'客户档案'!B5</f>
        <v>63</v>
      </c>
      <c r="E63" t="s">
        <v>74</v>
      </c>
      <c r="F63" t="s">
        <v>75</v>
      </c>
      <c r="G63" t="s">
        <f>'商品目录'!B6</f>
        <v>76</v>
      </c>
      <c r="H63" t="s">
        <v>77</v>
      </c>
      <c r="I63">
        <v>10</v>
      </c>
      <c r="J63" s="4">
        <v>8</v>
      </c>
      <c r="K63" s="4">
        <f>I63*J63</f>
        <v>80</v>
      </c>
      <c r="L63" s="3">
        <v>0.5</v>
      </c>
      <c r="M63" s="4">
        <f>K63*L63</f>
        <v>40</v>
      </c>
      <c r="N63" s="4">
        <v>20</v>
      </c>
      <c r="O63" s="4">
        <f>K63-M63+N63</f>
        <v>60</v>
      </c>
      <c r="P63" t="s">
        <v>43</v>
      </c>
      <c r="Q63" t="b">
        <v>1</v>
      </c>
      <c r="R63" t="s">
        <v>55</v>
      </c>
      <c r="S63" t="s">
        <v>68</v>
      </c>
      <c r="T63" t="s">
        <v>69</v>
      </c>
      <c r="U63" t="s">
        <v>78</v>
      </c>
      <c r="V63" t="s">
        <v>63</v>
      </c>
      <c r="W63" t="s">
        <v>192</v>
      </c>
      <c r="X63" t="s">
        <v>80</v>
      </c>
      <c r="Y63">
        <v>9007199254741052</v>
      </c>
      <c r="Z63">
        <v>0</v>
      </c>
      <c r="AA63" t="s">
        <v>63</v>
      </c>
      <c r="AB63" t="b">
        <v>1</v>
      </c>
      <c r="AD63" s="3">
        <v>0.125</v>
      </c>
      <c r="AE63" s="2">
        <v>45905.5</v>
      </c>
      <c r="AF63" t="s">
        <v>60</v>
      </c>
    </row>
    <row r="64">
      <c r="A64" t="s">
        <v>193</v>
      </c>
      <c r="B64" s="2">
        <v>45904.5</v>
      </c>
      <c r="C64" t="s">
        <v>37</v>
      </c>
      <c r="D64" t="s">
        <f>'客户档案'!B3</f>
        <v>38</v>
      </c>
      <c r="E64" t="s">
        <v>39</v>
      </c>
      <c r="F64" t="s">
        <v>40</v>
      </c>
      <c r="G64" t="s">
        <f>'商品目录'!B3</f>
        <v>41</v>
      </c>
      <c r="H64" t="s">
        <v>42</v>
      </c>
      <c r="I64">
        <v>2</v>
      </c>
      <c r="J64" s="4">
        <v>99</v>
      </c>
      <c r="K64" s="4">
        <f>I64*J64</f>
        <v>198</v>
      </c>
      <c r="L64" s="3">
        <v>0</v>
      </c>
      <c r="M64" s="4">
        <f>K64*L64</f>
        <v>0</v>
      </c>
      <c r="N64" s="4">
        <v>0</v>
      </c>
      <c r="O64" s="4">
        <f>K64-M64+N64</f>
        <v>198</v>
      </c>
      <c r="P64" t="s">
        <v>43</v>
      </c>
      <c r="Q64" t="b">
        <v>0</v>
      </c>
      <c r="R64" t="s">
        <v>44</v>
      </c>
      <c r="S64" t="s">
        <v>45</v>
      </c>
      <c r="T64" t="s">
        <v>46</v>
      </c>
      <c r="U64" t="s">
        <v>39</v>
      </c>
      <c r="V64" t="s">
        <v>38</v>
      </c>
      <c r="W64" t="s">
        <v>194</v>
      </c>
      <c r="X64" t="s">
        <v>0</v>
      </c>
      <c r="Y64">
        <v>9007199254741053</v>
      </c>
      <c r="Z64">
        <v>0</v>
      </c>
      <c r="AA64" t="s">
        <v>38</v>
      </c>
      <c r="AB64" t="b">
        <v>0</v>
      </c>
      <c r="AD64" s="3">
        <v>0.125</v>
      </c>
      <c r="AE64" s="2">
        <v>45906.5</v>
      </c>
      <c r="AF64" t="s">
        <v>60</v>
      </c>
    </row>
    <row r="65">
      <c r="A65" t="s">
        <v>195</v>
      </c>
      <c r="B65" s="2">
        <v>45905.5</v>
      </c>
      <c r="C65" t="s">
        <v>49</v>
      </c>
      <c r="D65" t="s">
        <f>'客户档案'!B4</f>
        <v>50</v>
      </c>
      <c r="E65" t="s">
        <v>51</v>
      </c>
      <c r="F65" t="s">
        <v>52</v>
      </c>
      <c r="G65" t="s">
        <f>'商品目录'!B4</f>
        <v>53</v>
      </c>
      <c r="H65" t="s">
        <v>54</v>
      </c>
      <c r="I65">
        <v>4</v>
      </c>
      <c r="J65" s="4">
        <v>129</v>
      </c>
      <c r="K65" s="4">
        <f>I65*J65</f>
        <v>516</v>
      </c>
      <c r="L65" s="3">
        <v>0.5</v>
      </c>
      <c r="M65" s="4">
        <f>K65*L65</f>
        <v>258</v>
      </c>
      <c r="N65" s="4">
        <v>10</v>
      </c>
      <c r="O65" s="4">
        <f>K65-M65+N65</f>
        <v>268</v>
      </c>
      <c r="P65" t="s">
        <v>43</v>
      </c>
      <c r="Q65" t="b">
        <v>1</v>
      </c>
      <c r="R65" t="s">
        <v>55</v>
      </c>
      <c r="S65" t="s">
        <v>56</v>
      </c>
      <c r="T65" t="s">
        <v>57</v>
      </c>
      <c r="U65" t="s">
        <v>51</v>
      </c>
      <c r="V65" t="s">
        <v>50</v>
      </c>
      <c r="W65" t="s">
        <v>196</v>
      </c>
      <c r="X65" t="s">
        <v>59</v>
      </c>
      <c r="Y65">
        <v>9007199254741054</v>
      </c>
      <c r="Z65">
        <v>0</v>
      </c>
      <c r="AA65" t="s">
        <v>50</v>
      </c>
      <c r="AB65" t="b">
        <v>1</v>
      </c>
      <c r="AD65" s="3">
        <v>0.125</v>
      </c>
      <c r="AE65" s="2">
        <v>45907.5</v>
      </c>
      <c r="AF65" t="s">
        <v>60</v>
      </c>
    </row>
    <row r="66">
      <c r="A66" t="s">
        <v>197</v>
      </c>
      <c r="B66" s="2">
        <v>45906.5</v>
      </c>
      <c r="C66" t="s">
        <v>62</v>
      </c>
      <c r="D66" t="s">
        <f>'客户档案'!B5</f>
        <v>63</v>
      </c>
      <c r="E66" t="s">
        <v>64</v>
      </c>
      <c r="F66" t="s">
        <v>65</v>
      </c>
      <c r="G66" t="s">
        <f>'商品目录'!B5</f>
        <v>66</v>
      </c>
      <c r="H66" t="s">
        <v>67</v>
      </c>
      <c r="I66">
        <v>6</v>
      </c>
      <c r="J66" s="4">
        <v>45</v>
      </c>
      <c r="K66" s="4">
        <f>I66*J66</f>
        <v>270</v>
      </c>
      <c r="L66" s="3">
        <v>0</v>
      </c>
      <c r="M66" s="4">
        <f>K66*L66</f>
        <v>0</v>
      </c>
      <c r="N66" s="4">
        <v>20</v>
      </c>
      <c r="O66" s="4">
        <f>K66-M66+N66</f>
        <v>290</v>
      </c>
      <c r="P66" t="s">
        <v>43</v>
      </c>
      <c r="Q66" t="b">
        <v>1</v>
      </c>
      <c r="R66" t="s">
        <v>55</v>
      </c>
      <c r="S66" t="s">
        <v>68</v>
      </c>
      <c r="T66" t="s">
        <v>69</v>
      </c>
      <c r="U66" t="s">
        <v>70</v>
      </c>
      <c r="V66" t="s">
        <v>63</v>
      </c>
      <c r="W66" t="s">
        <v>198</v>
      </c>
      <c r="X66" t="s">
        <v>72</v>
      </c>
      <c r="Y66">
        <v>9007199254741055</v>
      </c>
      <c r="Z66">
        <v>0</v>
      </c>
      <c r="AA66" t="s">
        <v>63</v>
      </c>
      <c r="AB66" t="b">
        <v>0</v>
      </c>
      <c r="AD66" s="3">
        <v>0.125</v>
      </c>
      <c r="AE66" s="2">
        <v>45908.5</v>
      </c>
      <c r="AF66" t="s">
        <v>60</v>
      </c>
    </row>
    <row r="67">
      <c r="A67" t="s">
        <v>199</v>
      </c>
      <c r="B67" s="2">
        <v>45907.5</v>
      </c>
      <c r="C67" t="s">
        <v>37</v>
      </c>
      <c r="D67" t="s">
        <f>'客户档案'!B3</f>
        <v>38</v>
      </c>
      <c r="E67" t="s">
        <v>74</v>
      </c>
      <c r="F67" t="s">
        <v>75</v>
      </c>
      <c r="G67" t="s">
        <f>'商品目录'!B6</f>
        <v>76</v>
      </c>
      <c r="H67" t="s">
        <v>77</v>
      </c>
      <c r="I67">
        <v>8</v>
      </c>
      <c r="J67" s="4">
        <v>8</v>
      </c>
      <c r="K67" s="4">
        <f>I67*J67</f>
        <v>64</v>
      </c>
      <c r="L67" s="3">
        <v>0.5</v>
      </c>
      <c r="M67" s="4">
        <f>K67*L67</f>
        <v>32</v>
      </c>
      <c r="N67" s="4">
        <v>0</v>
      </c>
      <c r="O67" s="4">
        <f>K67-M67+N67</f>
        <v>32</v>
      </c>
      <c r="P67" t="s">
        <v>43</v>
      </c>
      <c r="Q67" t="b">
        <v>1</v>
      </c>
      <c r="R67" t="s">
        <v>55</v>
      </c>
      <c r="S67" t="s">
        <v>45</v>
      </c>
      <c r="T67" t="s">
        <v>46</v>
      </c>
      <c r="U67" t="s">
        <v>78</v>
      </c>
      <c r="V67" t="s">
        <v>38</v>
      </c>
      <c r="W67" t="s">
        <v>200</v>
      </c>
      <c r="X67" t="s">
        <v>80</v>
      </c>
      <c r="Y67">
        <v>9007199254741056</v>
      </c>
      <c r="Z67">
        <v>0</v>
      </c>
      <c r="AA67" t="s">
        <v>38</v>
      </c>
      <c r="AB67" t="b">
        <v>1</v>
      </c>
      <c r="AD67" s="3">
        <v>0.125</v>
      </c>
      <c r="AE67" s="2">
        <v>45909.5</v>
      </c>
      <c r="AF67" t="s">
        <v>60</v>
      </c>
    </row>
    <row r="68">
      <c r="A68" t="s">
        <v>201</v>
      </c>
      <c r="B68" s="2">
        <v>45908.5</v>
      </c>
      <c r="C68" t="s">
        <v>49</v>
      </c>
      <c r="D68" t="s">
        <f>'客户档案'!B4</f>
        <v>50</v>
      </c>
      <c r="E68" t="s">
        <v>39</v>
      </c>
      <c r="F68" t="s">
        <v>40</v>
      </c>
      <c r="G68" t="s">
        <f>'商品目录'!B3</f>
        <v>41</v>
      </c>
      <c r="H68" t="s">
        <v>42</v>
      </c>
      <c r="I68">
        <v>10</v>
      </c>
      <c r="J68" s="4">
        <v>99</v>
      </c>
      <c r="K68" s="4">
        <f>I68*J68</f>
        <v>990</v>
      </c>
      <c r="L68" s="3">
        <v>0</v>
      </c>
      <c r="M68" s="4">
        <f>K68*L68</f>
        <v>0</v>
      </c>
      <c r="N68" s="4">
        <v>10</v>
      </c>
      <c r="O68" s="4">
        <f>K68-M68+N68</f>
        <v>1000</v>
      </c>
      <c r="P68" t="s">
        <v>43</v>
      </c>
      <c r="Q68" t="b">
        <v>0</v>
      </c>
      <c r="R68" t="s">
        <v>44</v>
      </c>
      <c r="S68" t="s">
        <v>56</v>
      </c>
      <c r="T68" t="s">
        <v>57</v>
      </c>
      <c r="U68" t="s">
        <v>39</v>
      </c>
      <c r="V68" t="s">
        <v>50</v>
      </c>
      <c r="W68" t="s">
        <v>202</v>
      </c>
      <c r="X68" t="s">
        <v>0</v>
      </c>
      <c r="Y68">
        <v>9007199254741057</v>
      </c>
      <c r="Z68">
        <v>0</v>
      </c>
      <c r="AA68" t="s">
        <v>50</v>
      </c>
      <c r="AB68" t="b">
        <v>0</v>
      </c>
      <c r="AD68" s="3">
        <v>0.125</v>
      </c>
      <c r="AE68" s="2">
        <v>45910.5</v>
      </c>
      <c r="AF68" t="s">
        <v>60</v>
      </c>
    </row>
    <row r="69">
      <c r="A69" t="s">
        <v>203</v>
      </c>
      <c r="B69" s="2">
        <v>45909.5</v>
      </c>
      <c r="C69" t="s">
        <v>62</v>
      </c>
      <c r="D69" t="s">
        <f>'客户档案'!B5</f>
        <v>63</v>
      </c>
      <c r="E69" t="s">
        <v>51</v>
      </c>
      <c r="F69" t="s">
        <v>52</v>
      </c>
      <c r="G69" t="s">
        <f>'商品目录'!B4</f>
        <v>53</v>
      </c>
      <c r="H69" t="s">
        <v>54</v>
      </c>
      <c r="I69">
        <v>2</v>
      </c>
      <c r="J69" s="4">
        <v>129</v>
      </c>
      <c r="K69" s="4">
        <f>I69*J69</f>
        <v>258</v>
      </c>
      <c r="L69" s="3">
        <v>0.5</v>
      </c>
      <c r="M69" s="4">
        <f>K69*L69</f>
        <v>129</v>
      </c>
      <c r="N69" s="4">
        <v>20</v>
      </c>
      <c r="O69" s="4">
        <f>K69-M69+N69</f>
        <v>149</v>
      </c>
      <c r="P69" t="s">
        <v>43</v>
      </c>
      <c r="Q69" t="b">
        <v>1</v>
      </c>
      <c r="R69" t="s">
        <v>55</v>
      </c>
      <c r="S69" t="s">
        <v>68</v>
      </c>
      <c r="T69" t="s">
        <v>69</v>
      </c>
      <c r="U69" t="s">
        <v>51</v>
      </c>
      <c r="V69" t="s">
        <v>63</v>
      </c>
      <c r="W69" t="s">
        <v>204</v>
      </c>
      <c r="X69" t="s">
        <v>59</v>
      </c>
      <c r="Y69">
        <v>9007199254741058</v>
      </c>
      <c r="Z69">
        <v>0</v>
      </c>
      <c r="AA69" t="s">
        <v>63</v>
      </c>
      <c r="AB69" t="b">
        <v>1</v>
      </c>
      <c r="AD69" s="3">
        <v>0.125</v>
      </c>
      <c r="AE69" s="2">
        <v>45911.5</v>
      </c>
      <c r="AF69" t="s">
        <v>60</v>
      </c>
    </row>
    <row r="70">
      <c r="A70" t="s">
        <v>205</v>
      </c>
      <c r="B70" s="2">
        <v>45910.5</v>
      </c>
      <c r="C70" t="s">
        <v>37</v>
      </c>
      <c r="D70" t="s">
        <f>'客户档案'!B3</f>
        <v>38</v>
      </c>
      <c r="E70" t="s">
        <v>64</v>
      </c>
      <c r="F70" t="s">
        <v>65</v>
      </c>
      <c r="G70" t="s">
        <f>'商品目录'!B5</f>
        <v>66</v>
      </c>
      <c r="H70" t="s">
        <v>67</v>
      </c>
      <c r="I70">
        <v>4</v>
      </c>
      <c r="J70" s="4">
        <v>45</v>
      </c>
      <c r="K70" s="4">
        <f>I70*J70</f>
        <v>180</v>
      </c>
      <c r="L70" s="3">
        <v>0</v>
      </c>
      <c r="M70" s="4">
        <f>K70*L70</f>
        <v>0</v>
      </c>
      <c r="N70" s="4">
        <v>0</v>
      </c>
      <c r="O70" s="4">
        <f>K70-M70+N70</f>
        <v>180</v>
      </c>
      <c r="P70" t="s">
        <v>43</v>
      </c>
      <c r="Q70" t="b">
        <v>1</v>
      </c>
      <c r="R70" t="s">
        <v>55</v>
      </c>
      <c r="S70" t="s">
        <v>45</v>
      </c>
      <c r="T70" t="s">
        <v>46</v>
      </c>
      <c r="U70" t="s">
        <v>70</v>
      </c>
      <c r="V70" t="s">
        <v>38</v>
      </c>
      <c r="W70" t="s">
        <v>206</v>
      </c>
      <c r="X70" t="s">
        <v>72</v>
      </c>
      <c r="Y70">
        <v>9007199254741059</v>
      </c>
      <c r="Z70">
        <v>0</v>
      </c>
      <c r="AA70" t="s">
        <v>38</v>
      </c>
      <c r="AB70" t="b">
        <v>0</v>
      </c>
      <c r="AD70" s="3">
        <v>0.125</v>
      </c>
      <c r="AE70" s="2">
        <v>45912.5</v>
      </c>
      <c r="AF70" t="s">
        <v>60</v>
      </c>
    </row>
    <row r="71">
      <c r="A71" t="s">
        <v>207</v>
      </c>
      <c r="B71" s="2">
        <v>45911.5</v>
      </c>
      <c r="C71" t="s">
        <v>49</v>
      </c>
      <c r="D71" t="s">
        <f>'客户档案'!B4</f>
        <v>50</v>
      </c>
      <c r="E71" t="s">
        <v>74</v>
      </c>
      <c r="F71" t="s">
        <v>75</v>
      </c>
      <c r="G71" t="s">
        <f>'商品目录'!B6</f>
        <v>76</v>
      </c>
      <c r="H71" t="s">
        <v>77</v>
      </c>
      <c r="I71">
        <v>6</v>
      </c>
      <c r="J71" s="4">
        <v>8</v>
      </c>
      <c r="K71" s="4">
        <f>I71*J71</f>
        <v>48</v>
      </c>
      <c r="L71" s="3">
        <v>0.5</v>
      </c>
      <c r="M71" s="4">
        <f>K71*L71</f>
        <v>24</v>
      </c>
      <c r="N71" s="4">
        <v>10</v>
      </c>
      <c r="O71" s="4">
        <f>K71-M71+N71</f>
        <v>34</v>
      </c>
      <c r="P71" t="s">
        <v>43</v>
      </c>
      <c r="Q71" t="b">
        <v>1</v>
      </c>
      <c r="R71" t="s">
        <v>55</v>
      </c>
      <c r="S71" t="s">
        <v>56</v>
      </c>
      <c r="T71" t="s">
        <v>57</v>
      </c>
      <c r="U71" t="s">
        <v>78</v>
      </c>
      <c r="V71" t="s">
        <v>50</v>
      </c>
      <c r="W71" t="s">
        <v>208</v>
      </c>
      <c r="X71" t="s">
        <v>80</v>
      </c>
      <c r="Y71">
        <v>9007199254741060</v>
      </c>
      <c r="Z71">
        <v>0</v>
      </c>
      <c r="AA71" t="s">
        <v>50</v>
      </c>
      <c r="AB71" t="b">
        <v>1</v>
      </c>
      <c r="AD71" s="3">
        <v>0.125</v>
      </c>
      <c r="AE71" s="2">
        <v>45913.5</v>
      </c>
      <c r="AF71" t="s">
        <v>60</v>
      </c>
    </row>
    <row r="72">
      <c r="A72" t="s">
        <v>209</v>
      </c>
      <c r="B72" s="2">
        <v>45912.5</v>
      </c>
      <c r="C72" t="s">
        <v>62</v>
      </c>
      <c r="D72" t="s">
        <f>'客户档案'!B5</f>
        <v>63</v>
      </c>
      <c r="E72" t="s">
        <v>39</v>
      </c>
      <c r="F72" t="s">
        <v>40</v>
      </c>
      <c r="G72" t="s">
        <f>'商品目录'!B3</f>
        <v>41</v>
      </c>
      <c r="H72" t="s">
        <v>42</v>
      </c>
      <c r="I72">
        <v>8</v>
      </c>
      <c r="J72" s="4">
        <v>99</v>
      </c>
      <c r="K72" s="4">
        <f>I72*J72</f>
        <v>792</v>
      </c>
      <c r="L72" s="3">
        <v>0</v>
      </c>
      <c r="M72" s="4">
        <f>K72*L72</f>
        <v>0</v>
      </c>
      <c r="N72" s="4">
        <v>20</v>
      </c>
      <c r="O72" s="4">
        <f>K72-M72+N72</f>
        <v>812</v>
      </c>
      <c r="P72" t="s">
        <v>43</v>
      </c>
      <c r="Q72" t="b">
        <v>0</v>
      </c>
      <c r="R72" t="s">
        <v>44</v>
      </c>
      <c r="S72" t="s">
        <v>68</v>
      </c>
      <c r="T72" t="s">
        <v>69</v>
      </c>
      <c r="U72" t="s">
        <v>39</v>
      </c>
      <c r="V72" t="s">
        <v>63</v>
      </c>
      <c r="W72" t="s">
        <v>210</v>
      </c>
      <c r="X72" t="s">
        <v>0</v>
      </c>
      <c r="Y72">
        <v>9007199254741061</v>
      </c>
      <c r="Z72">
        <v>2</v>
      </c>
      <c r="AA72" t="s">
        <v>63</v>
      </c>
      <c r="AB72" t="b">
        <v>0</v>
      </c>
      <c r="AD72" s="3">
        <v>0.125</v>
      </c>
      <c r="AE72" s="2">
        <v>45914.5</v>
      </c>
      <c r="AF72" t="s">
        <v>60</v>
      </c>
    </row>
    <row r="73">
      <c r="A73" t="s">
        <v>211</v>
      </c>
      <c r="B73" s="2">
        <v>45913.5</v>
      </c>
      <c r="C73" t="s">
        <v>37</v>
      </c>
      <c r="D73" t="s">
        <f>'客户档案'!B3</f>
        <v>38</v>
      </c>
      <c r="E73" t="s">
        <v>51</v>
      </c>
      <c r="F73" t="s">
        <v>52</v>
      </c>
      <c r="G73" t="s">
        <f>'商品目录'!B4</f>
        <v>53</v>
      </c>
      <c r="H73" t="s">
        <v>54</v>
      </c>
      <c r="I73">
        <v>10</v>
      </c>
      <c r="J73" s="4">
        <v>129</v>
      </c>
      <c r="K73" s="4">
        <f>I73*J73</f>
        <v>1290</v>
      </c>
      <c r="L73" s="3">
        <v>0.5</v>
      </c>
      <c r="M73" s="4">
        <f>K73*L73</f>
        <v>645</v>
      </c>
      <c r="N73" s="4">
        <v>0</v>
      </c>
      <c r="O73" s="4">
        <f>K73-M73+N73</f>
        <v>645</v>
      </c>
      <c r="P73" t="s">
        <v>43</v>
      </c>
      <c r="Q73" t="b">
        <v>1</v>
      </c>
      <c r="R73" t="s">
        <v>55</v>
      </c>
      <c r="S73" t="s">
        <v>45</v>
      </c>
      <c r="T73" t="s">
        <v>46</v>
      </c>
      <c r="U73" t="s">
        <v>51</v>
      </c>
      <c r="V73" t="s">
        <v>38</v>
      </c>
      <c r="W73" t="s">
        <v>212</v>
      </c>
      <c r="X73" t="s">
        <v>59</v>
      </c>
      <c r="Y73">
        <v>9007199254741062</v>
      </c>
      <c r="Z73">
        <v>0</v>
      </c>
      <c r="AA73" t="s">
        <v>38</v>
      </c>
      <c r="AB73" t="b">
        <v>1</v>
      </c>
      <c r="AD73" s="3">
        <v>0.125</v>
      </c>
      <c r="AE73" s="2">
        <v>45915.5</v>
      </c>
      <c r="AF73" t="s">
        <v>60</v>
      </c>
    </row>
    <row r="74">
      <c r="A74" t="s">
        <v>213</v>
      </c>
      <c r="B74" s="2">
        <v>45914.5</v>
      </c>
      <c r="C74" t="s">
        <v>49</v>
      </c>
      <c r="D74" t="s">
        <f>'客户档案'!B4</f>
        <v>50</v>
      </c>
      <c r="E74" t="s">
        <v>64</v>
      </c>
      <c r="F74" t="s">
        <v>65</v>
      </c>
      <c r="G74" t="s">
        <f>'商品目录'!B5</f>
        <v>66</v>
      </c>
      <c r="H74" t="s">
        <v>67</v>
      </c>
      <c r="I74">
        <v>2</v>
      </c>
      <c r="J74" s="4">
        <v>45</v>
      </c>
      <c r="K74" s="4">
        <f>I74*J74</f>
        <v>90</v>
      </c>
      <c r="L74" s="3">
        <v>0</v>
      </c>
      <c r="M74" s="4">
        <f>K74*L74</f>
        <v>0</v>
      </c>
      <c r="N74" s="4">
        <v>10</v>
      </c>
      <c r="O74" s="4">
        <f>K74-M74+N74</f>
        <v>100</v>
      </c>
      <c r="P74" t="s">
        <v>43</v>
      </c>
      <c r="Q74" t="b">
        <v>1</v>
      </c>
      <c r="R74" t="s">
        <v>55</v>
      </c>
      <c r="S74" t="s">
        <v>56</v>
      </c>
      <c r="T74" t="s">
        <v>57</v>
      </c>
      <c r="U74" t="s">
        <v>70</v>
      </c>
      <c r="V74" t="s">
        <v>50</v>
      </c>
      <c r="W74" t="s">
        <v>214</v>
      </c>
      <c r="X74" t="s">
        <v>72</v>
      </c>
      <c r="Y74">
        <v>9007199254741063</v>
      </c>
      <c r="Z74">
        <v>0</v>
      </c>
      <c r="AA74" t="s">
        <v>50</v>
      </c>
      <c r="AB74" t="b">
        <v>0</v>
      </c>
      <c r="AD74" s="3">
        <v>0.125</v>
      </c>
      <c r="AE74" s="2">
        <v>45916.5</v>
      </c>
      <c r="AF74" t="s">
        <v>60</v>
      </c>
    </row>
    <row r="75">
      <c r="A75" t="s">
        <v>215</v>
      </c>
      <c r="B75" s="2">
        <v>45915.5</v>
      </c>
      <c r="C75" t="s">
        <v>62</v>
      </c>
      <c r="D75" t="s">
        <f>'客户档案'!B5</f>
        <v>63</v>
      </c>
      <c r="E75" t="s">
        <v>74</v>
      </c>
      <c r="F75" t="s">
        <v>75</v>
      </c>
      <c r="G75" t="s">
        <f>'商品目录'!B6</f>
        <v>76</v>
      </c>
      <c r="H75" t="s">
        <v>77</v>
      </c>
      <c r="I75">
        <v>4</v>
      </c>
      <c r="J75" s="4">
        <v>8</v>
      </c>
      <c r="K75" s="4">
        <f>I75*J75</f>
        <v>32</v>
      </c>
      <c r="L75" s="3">
        <v>0.5</v>
      </c>
      <c r="M75" s="4">
        <f>K75*L75</f>
        <v>16</v>
      </c>
      <c r="N75" s="4">
        <v>20</v>
      </c>
      <c r="O75" s="4">
        <f>K75-M75+N75</f>
        <v>36</v>
      </c>
      <c r="P75" t="s">
        <v>43</v>
      </c>
      <c r="Q75" t="b">
        <v>1</v>
      </c>
      <c r="R75" t="s">
        <v>55</v>
      </c>
      <c r="S75" t="s">
        <v>68</v>
      </c>
      <c r="T75" t="s">
        <v>69</v>
      </c>
      <c r="U75" t="s">
        <v>78</v>
      </c>
      <c r="V75" t="s">
        <v>63</v>
      </c>
      <c r="W75" t="s">
        <v>216</v>
      </c>
      <c r="X75" t="s">
        <v>80</v>
      </c>
      <c r="Y75">
        <v>9007199254741064</v>
      </c>
      <c r="Z75">
        <v>0</v>
      </c>
      <c r="AA75" t="s">
        <v>63</v>
      </c>
      <c r="AB75" t="b">
        <v>1</v>
      </c>
      <c r="AD75" s="3">
        <v>0.125</v>
      </c>
      <c r="AE75" s="2">
        <v>45917.5</v>
      </c>
      <c r="AF75" t="s">
        <v>60</v>
      </c>
    </row>
    <row r="76">
      <c r="A76" t="s">
        <v>217</v>
      </c>
      <c r="B76" s="2">
        <v>45916.5</v>
      </c>
      <c r="C76" t="s">
        <v>37</v>
      </c>
      <c r="D76" t="s">
        <f>'客户档案'!B3</f>
        <v>38</v>
      </c>
      <c r="E76" t="s">
        <v>39</v>
      </c>
      <c r="F76" t="s">
        <v>40</v>
      </c>
      <c r="G76" t="s">
        <f>'商品目录'!B3</f>
        <v>41</v>
      </c>
      <c r="H76" t="s">
        <v>42</v>
      </c>
      <c r="I76">
        <v>6</v>
      </c>
      <c r="J76" s="4">
        <v>99</v>
      </c>
      <c r="K76" s="4">
        <f>I76*J76</f>
        <v>594</v>
      </c>
      <c r="L76" s="3">
        <v>0</v>
      </c>
      <c r="M76" s="4">
        <f>K76*L76</f>
        <v>0</v>
      </c>
      <c r="N76" s="4">
        <v>0</v>
      </c>
      <c r="O76" s="4">
        <f>K76-M76+N76</f>
        <v>594</v>
      </c>
      <c r="P76" t="s">
        <v>43</v>
      </c>
      <c r="Q76" t="b">
        <v>0</v>
      </c>
      <c r="R76" t="s">
        <v>44</v>
      </c>
      <c r="S76" t="s">
        <v>45</v>
      </c>
      <c r="T76" t="s">
        <v>46</v>
      </c>
      <c r="U76" t="s">
        <v>39</v>
      </c>
      <c r="V76" t="s">
        <v>38</v>
      </c>
      <c r="W76" t="s">
        <v>218</v>
      </c>
      <c r="X76" t="s">
        <v>0</v>
      </c>
      <c r="Y76">
        <v>9007199254741065</v>
      </c>
      <c r="Z76">
        <v>0</v>
      </c>
      <c r="AA76" t="s">
        <v>38</v>
      </c>
      <c r="AB76" t="b">
        <v>0</v>
      </c>
      <c r="AD76" s="3">
        <v>0.125</v>
      </c>
      <c r="AE76" s="2">
        <v>45918.5</v>
      </c>
      <c r="AF76" t="s">
        <v>60</v>
      </c>
    </row>
    <row r="77">
      <c r="A77" t="s">
        <v>219</v>
      </c>
      <c r="B77" s="2">
        <v>45917.5</v>
      </c>
      <c r="C77" t="s">
        <v>49</v>
      </c>
      <c r="D77" t="s">
        <f>'客户档案'!B4</f>
        <v>50</v>
      </c>
      <c r="E77" t="s">
        <v>51</v>
      </c>
      <c r="F77" t="s">
        <v>52</v>
      </c>
      <c r="G77" t="s">
        <f>'商品目录'!B4</f>
        <v>53</v>
      </c>
      <c r="H77" t="s">
        <v>54</v>
      </c>
      <c r="I77">
        <v>8</v>
      </c>
      <c r="J77" s="4">
        <v>129</v>
      </c>
      <c r="K77" s="4">
        <f>I77*J77</f>
        <v>1032</v>
      </c>
      <c r="L77" s="3">
        <v>0.5</v>
      </c>
      <c r="M77" s="4">
        <f>K77*L77</f>
        <v>516</v>
      </c>
      <c r="N77" s="4">
        <v>10</v>
      </c>
      <c r="O77" s="4">
        <f>K77-M77+N77</f>
        <v>526</v>
      </c>
      <c r="P77" t="s">
        <v>43</v>
      </c>
      <c r="Q77" t="b">
        <v>1</v>
      </c>
      <c r="R77" t="s">
        <v>55</v>
      </c>
      <c r="S77" t="s">
        <v>56</v>
      </c>
      <c r="T77" t="s">
        <v>57</v>
      </c>
      <c r="U77" t="s">
        <v>51</v>
      </c>
      <c r="V77" t="s">
        <v>50</v>
      </c>
      <c r="W77" t="s">
        <v>220</v>
      </c>
      <c r="X77" t="s">
        <v>59</v>
      </c>
      <c r="Y77">
        <v>9007199254741066</v>
      </c>
      <c r="Z77">
        <v>0</v>
      </c>
      <c r="AA77" t="s">
        <v>50</v>
      </c>
      <c r="AB77" t="b">
        <v>1</v>
      </c>
      <c r="AD77" s="3">
        <v>0.125</v>
      </c>
      <c r="AE77" s="2">
        <v>45919.5</v>
      </c>
      <c r="AF77" t="s">
        <v>60</v>
      </c>
    </row>
    <row r="78">
      <c r="A78" t="s">
        <v>221</v>
      </c>
      <c r="B78" s="2">
        <v>45918.5</v>
      </c>
      <c r="C78" t="s">
        <v>62</v>
      </c>
      <c r="D78" t="s">
        <f>'客户档案'!B5</f>
        <v>63</v>
      </c>
      <c r="E78" t="s">
        <v>64</v>
      </c>
      <c r="F78" t="s">
        <v>65</v>
      </c>
      <c r="G78" t="s">
        <f>'商品目录'!B5</f>
        <v>66</v>
      </c>
      <c r="H78" t="s">
        <v>67</v>
      </c>
      <c r="I78">
        <v>10</v>
      </c>
      <c r="J78" s="4">
        <v>45</v>
      </c>
      <c r="K78" s="4">
        <f>I78*J78</f>
        <v>450</v>
      </c>
      <c r="L78" s="3">
        <v>0</v>
      </c>
      <c r="M78" s="4">
        <f>K78*L78</f>
        <v>0</v>
      </c>
      <c r="N78" s="4">
        <v>20</v>
      </c>
      <c r="O78" s="4">
        <f>K78-M78+N78</f>
        <v>470</v>
      </c>
      <c r="P78" t="s">
        <v>43</v>
      </c>
      <c r="Q78" t="b">
        <v>1</v>
      </c>
      <c r="R78" t="s">
        <v>55</v>
      </c>
      <c r="S78" t="s">
        <v>68</v>
      </c>
      <c r="T78" t="s">
        <v>69</v>
      </c>
      <c r="U78" t="s">
        <v>70</v>
      </c>
      <c r="V78" t="s">
        <v>63</v>
      </c>
      <c r="W78" t="s">
        <v>222</v>
      </c>
      <c r="X78" t="s">
        <v>72</v>
      </c>
      <c r="Y78">
        <v>9007199254741067</v>
      </c>
      <c r="Z78">
        <v>0</v>
      </c>
      <c r="AA78" t="s">
        <v>63</v>
      </c>
      <c r="AB78" t="b">
        <v>0</v>
      </c>
      <c r="AD78" s="3">
        <v>0.125</v>
      </c>
      <c r="AE78" s="2">
        <v>45920.5</v>
      </c>
      <c r="AF78" t="s">
        <v>60</v>
      </c>
    </row>
    <row r="79">
      <c r="A79" t="s">
        <v>223</v>
      </c>
      <c r="B79" s="2">
        <v>45919.5</v>
      </c>
      <c r="C79" t="s">
        <v>37</v>
      </c>
      <c r="D79" t="s">
        <f>'客户档案'!B3</f>
        <v>38</v>
      </c>
      <c r="E79" t="s">
        <v>74</v>
      </c>
      <c r="F79" t="s">
        <v>75</v>
      </c>
      <c r="G79" t="s">
        <f>'商品目录'!B6</f>
        <v>76</v>
      </c>
      <c r="H79" t="s">
        <v>77</v>
      </c>
      <c r="I79">
        <v>2</v>
      </c>
      <c r="J79" s="4">
        <v>8</v>
      </c>
      <c r="K79" s="4">
        <f>I79*J79</f>
        <v>16</v>
      </c>
      <c r="L79" s="3">
        <v>0.5</v>
      </c>
      <c r="M79" s="4">
        <f>K79*L79</f>
        <v>8</v>
      </c>
      <c r="N79" s="4">
        <v>0</v>
      </c>
      <c r="O79" s="4">
        <f>K79-M79+N79</f>
        <v>8</v>
      </c>
      <c r="P79" t="s">
        <v>43</v>
      </c>
      <c r="Q79" t="b">
        <v>1</v>
      </c>
      <c r="R79" t="s">
        <v>55</v>
      </c>
      <c r="S79" t="s">
        <v>45</v>
      </c>
      <c r="T79" t="s">
        <v>46</v>
      </c>
      <c r="U79" t="s">
        <v>78</v>
      </c>
      <c r="V79" t="s">
        <v>38</v>
      </c>
      <c r="W79" t="s">
        <v>224</v>
      </c>
      <c r="X79" t="s">
        <v>80</v>
      </c>
      <c r="Y79">
        <v>9007199254741068</v>
      </c>
      <c r="Z79">
        <v>0</v>
      </c>
      <c r="AA79" t="s">
        <v>38</v>
      </c>
      <c r="AB79" t="b">
        <v>1</v>
      </c>
      <c r="AD79" s="3">
        <v>0.125</v>
      </c>
      <c r="AE79" s="2">
        <v>45921.5</v>
      </c>
      <c r="AF79" t="s">
        <v>60</v>
      </c>
    </row>
    <row r="80">
      <c r="A80" t="s">
        <v>225</v>
      </c>
      <c r="B80" s="2">
        <v>45920.5</v>
      </c>
      <c r="C80" t="s">
        <v>49</v>
      </c>
      <c r="D80" t="s">
        <f>'客户档案'!B4</f>
        <v>50</v>
      </c>
      <c r="E80" t="s">
        <v>39</v>
      </c>
      <c r="F80" t="s">
        <v>40</v>
      </c>
      <c r="G80" t="s">
        <f>'商品目录'!B3</f>
        <v>41</v>
      </c>
      <c r="H80" t="s">
        <v>42</v>
      </c>
      <c r="I80">
        <v>4</v>
      </c>
      <c r="J80" s="4">
        <v>99</v>
      </c>
      <c r="K80" s="4">
        <f>I80*J80</f>
        <v>396</v>
      </c>
      <c r="L80" s="3">
        <v>0</v>
      </c>
      <c r="M80" s="4">
        <f>K80*L80</f>
        <v>0</v>
      </c>
      <c r="N80" s="4">
        <v>10</v>
      </c>
      <c r="O80" s="4">
        <f>K80-M80+N80</f>
        <v>406</v>
      </c>
      <c r="P80" t="s">
        <v>43</v>
      </c>
      <c r="Q80" t="b">
        <v>0</v>
      </c>
      <c r="R80" t="s">
        <v>44</v>
      </c>
      <c r="S80" t="s">
        <v>56</v>
      </c>
      <c r="T80" t="s">
        <v>57</v>
      </c>
      <c r="U80" t="s">
        <v>39</v>
      </c>
      <c r="V80" t="s">
        <v>50</v>
      </c>
      <c r="W80" t="s">
        <v>226</v>
      </c>
      <c r="X80" t="s">
        <v>0</v>
      </c>
      <c r="Y80">
        <v>9007199254741069</v>
      </c>
      <c r="Z80">
        <v>0</v>
      </c>
      <c r="AA80" t="s">
        <v>50</v>
      </c>
      <c r="AB80" t="b">
        <v>0</v>
      </c>
      <c r="AD80" s="3">
        <v>0.125</v>
      </c>
      <c r="AE80" s="2">
        <v>45922.5</v>
      </c>
      <c r="AF80" t="s">
        <v>60</v>
      </c>
    </row>
    <row r="81">
      <c r="A81" t="s">
        <v>227</v>
      </c>
      <c r="B81" s="2">
        <v>45921.5</v>
      </c>
      <c r="C81" t="s">
        <v>62</v>
      </c>
      <c r="D81" t="s">
        <f>'客户档案'!B5</f>
        <v>63</v>
      </c>
      <c r="E81" t="s">
        <v>51</v>
      </c>
      <c r="F81" t="s">
        <v>52</v>
      </c>
      <c r="G81" t="s">
        <f>'商品目录'!B4</f>
        <v>53</v>
      </c>
      <c r="H81" t="s">
        <v>54</v>
      </c>
      <c r="I81">
        <v>6</v>
      </c>
      <c r="J81" s="4">
        <v>129</v>
      </c>
      <c r="K81" s="4">
        <f>I81*J81</f>
        <v>774</v>
      </c>
      <c r="L81" s="3">
        <v>0.5</v>
      </c>
      <c r="M81" s="4">
        <f>K81*L81</f>
        <v>387</v>
      </c>
      <c r="N81" s="4">
        <v>20</v>
      </c>
      <c r="O81" s="4">
        <f>K81-M81+N81</f>
        <v>407</v>
      </c>
      <c r="P81" t="s">
        <v>43</v>
      </c>
      <c r="Q81" t="b">
        <v>1</v>
      </c>
      <c r="R81" t="s">
        <v>55</v>
      </c>
      <c r="S81" t="s">
        <v>68</v>
      </c>
      <c r="T81" t="s">
        <v>69</v>
      </c>
      <c r="U81" t="s">
        <v>51</v>
      </c>
      <c r="V81" t="s">
        <v>63</v>
      </c>
      <c r="W81" t="s">
        <v>228</v>
      </c>
      <c r="X81" t="s">
        <v>59</v>
      </c>
      <c r="Y81">
        <v>9007199254741070</v>
      </c>
      <c r="Z81">
        <v>0</v>
      </c>
      <c r="AA81" t="s">
        <v>63</v>
      </c>
      <c r="AB81" t="b">
        <v>1</v>
      </c>
      <c r="AD81" s="3">
        <v>0.125</v>
      </c>
      <c r="AE81" s="2">
        <v>45923.5</v>
      </c>
      <c r="AF81" t="s">
        <v>60</v>
      </c>
    </row>
    <row r="82">
      <c r="A82" t="s">
        <v>229</v>
      </c>
      <c r="B82" s="2">
        <v>45922.5</v>
      </c>
      <c r="C82" t="s">
        <v>37</v>
      </c>
      <c r="D82" t="s">
        <f>'客户档案'!B3</f>
        <v>38</v>
      </c>
      <c r="E82" t="s">
        <v>64</v>
      </c>
      <c r="F82" t="s">
        <v>65</v>
      </c>
      <c r="G82" t="s">
        <f>'商品目录'!B5</f>
        <v>66</v>
      </c>
      <c r="H82" t="s">
        <v>67</v>
      </c>
      <c r="I82">
        <v>8</v>
      </c>
      <c r="J82" s="4">
        <v>45</v>
      </c>
      <c r="K82" s="4">
        <f>I82*J82</f>
        <v>360</v>
      </c>
      <c r="L82" s="3">
        <v>0</v>
      </c>
      <c r="M82" s="4">
        <f>K82*L82</f>
        <v>0</v>
      </c>
      <c r="N82" s="4">
        <v>0</v>
      </c>
      <c r="O82" s="4">
        <f>K82-M82+N82</f>
        <v>360</v>
      </c>
      <c r="P82" t="s">
        <v>43</v>
      </c>
      <c r="Q82" t="b">
        <v>1</v>
      </c>
      <c r="R82" t="s">
        <v>55</v>
      </c>
      <c r="S82" t="s">
        <v>45</v>
      </c>
      <c r="T82" t="s">
        <v>46</v>
      </c>
      <c r="U82" t="s">
        <v>70</v>
      </c>
      <c r="V82" t="s">
        <v>38</v>
      </c>
      <c r="W82" t="s">
        <v>230</v>
      </c>
      <c r="X82" t="s">
        <v>72</v>
      </c>
      <c r="Y82">
        <v>9007199254741071</v>
      </c>
      <c r="Z82">
        <v>0</v>
      </c>
      <c r="AA82" t="s">
        <v>38</v>
      </c>
      <c r="AB82" t="b">
        <v>0</v>
      </c>
      <c r="AD82" s="3">
        <v>0.125</v>
      </c>
      <c r="AE82" s="2">
        <v>45924.5</v>
      </c>
      <c r="AF82" t="s">
        <v>60</v>
      </c>
    </row>
    <row r="83">
      <c r="A83" t="s">
        <v>231</v>
      </c>
      <c r="B83" s="2">
        <v>45923.5</v>
      </c>
      <c r="C83" t="s">
        <v>49</v>
      </c>
      <c r="D83" t="s">
        <f>'客户档案'!B4</f>
        <v>50</v>
      </c>
      <c r="E83" t="s">
        <v>74</v>
      </c>
      <c r="F83" t="s">
        <v>75</v>
      </c>
      <c r="G83" t="s">
        <f>'商品目录'!B6</f>
        <v>76</v>
      </c>
      <c r="H83" t="s">
        <v>77</v>
      </c>
      <c r="I83">
        <v>10</v>
      </c>
      <c r="J83" s="4">
        <v>8</v>
      </c>
      <c r="K83" s="4">
        <f>I83*J83</f>
        <v>80</v>
      </c>
      <c r="L83" s="3">
        <v>0.5</v>
      </c>
      <c r="M83" s="4">
        <f>K83*L83</f>
        <v>40</v>
      </c>
      <c r="N83" s="4">
        <v>10</v>
      </c>
      <c r="O83" s="4">
        <f>K83-M83+N83</f>
        <v>50</v>
      </c>
      <c r="P83" t="s">
        <v>43</v>
      </c>
      <c r="Q83" t="b">
        <v>1</v>
      </c>
      <c r="R83" t="s">
        <v>55</v>
      </c>
      <c r="S83" t="s">
        <v>56</v>
      </c>
      <c r="T83" t="s">
        <v>57</v>
      </c>
      <c r="U83" t="s">
        <v>78</v>
      </c>
      <c r="V83" t="s">
        <v>50</v>
      </c>
      <c r="W83" t="s">
        <v>232</v>
      </c>
      <c r="X83" t="s">
        <v>80</v>
      </c>
      <c r="Y83">
        <v>9007199254741072</v>
      </c>
      <c r="Z83">
        <v>0</v>
      </c>
      <c r="AA83" t="s">
        <v>50</v>
      </c>
      <c r="AB83" t="b">
        <v>1</v>
      </c>
      <c r="AD83" s="3">
        <v>0.125</v>
      </c>
      <c r="AE83" s="2">
        <v>45925.5</v>
      </c>
      <c r="AF83" t="s">
        <v>60</v>
      </c>
    </row>
    <row r="84">
      <c r="A84" t="s">
        <v>233</v>
      </c>
      <c r="B84" s="2">
        <v>45924.5</v>
      </c>
      <c r="C84" t="s">
        <v>62</v>
      </c>
      <c r="D84" t="s">
        <f>'客户档案'!B5</f>
        <v>63</v>
      </c>
      <c r="E84" t="s">
        <v>39</v>
      </c>
      <c r="F84" t="s">
        <v>40</v>
      </c>
      <c r="G84" t="s">
        <f>'商品目录'!B3</f>
        <v>41</v>
      </c>
      <c r="H84" t="s">
        <v>42</v>
      </c>
      <c r="I84">
        <v>2</v>
      </c>
      <c r="J84" s="4">
        <v>99</v>
      </c>
      <c r="K84" s="4">
        <f>I84*J84</f>
        <v>198</v>
      </c>
      <c r="L84" s="3">
        <v>0</v>
      </c>
      <c r="M84" s="4">
        <f>K84*L84</f>
        <v>0</v>
      </c>
      <c r="N84" s="4">
        <v>20</v>
      </c>
      <c r="O84" s="4">
        <f>K84-M84+N84</f>
        <v>218</v>
      </c>
      <c r="P84" t="s">
        <v>43</v>
      </c>
      <c r="Q84" t="b">
        <v>0</v>
      </c>
      <c r="R84" t="s">
        <v>44</v>
      </c>
      <c r="S84" t="s">
        <v>68</v>
      </c>
      <c r="T84" t="s">
        <v>69</v>
      </c>
      <c r="U84" t="s">
        <v>39</v>
      </c>
      <c r="V84" t="s">
        <v>63</v>
      </c>
      <c r="W84" t="s">
        <v>234</v>
      </c>
      <c r="X84" t="s">
        <v>0</v>
      </c>
      <c r="Y84">
        <v>9007199254741073</v>
      </c>
      <c r="Z84">
        <v>0</v>
      </c>
      <c r="AA84" t="s">
        <v>63</v>
      </c>
      <c r="AB84" t="b">
        <v>0</v>
      </c>
      <c r="AD84" s="3">
        <v>0.125</v>
      </c>
      <c r="AE84" s="2">
        <v>45926.5</v>
      </c>
      <c r="AF84" t="s">
        <v>60</v>
      </c>
    </row>
    <row r="85">
      <c r="A85" t="s">
        <v>235</v>
      </c>
      <c r="B85" s="2">
        <v>45925.5</v>
      </c>
      <c r="C85" t="s">
        <v>37</v>
      </c>
      <c r="D85" t="s">
        <f>'客户档案'!B3</f>
        <v>38</v>
      </c>
      <c r="E85" t="s">
        <v>51</v>
      </c>
      <c r="F85" t="s">
        <v>52</v>
      </c>
      <c r="G85" t="s">
        <f>'商品目录'!B4</f>
        <v>53</v>
      </c>
      <c r="H85" t="s">
        <v>54</v>
      </c>
      <c r="I85">
        <v>4</v>
      </c>
      <c r="J85" s="4">
        <v>129</v>
      </c>
      <c r="K85" s="4">
        <f>I85*J85</f>
        <v>516</v>
      </c>
      <c r="L85" s="3">
        <v>0.5</v>
      </c>
      <c r="M85" s="4">
        <f>K85*L85</f>
        <v>258</v>
      </c>
      <c r="N85" s="4">
        <v>0</v>
      </c>
      <c r="O85" s="4">
        <f>K85-M85+N85</f>
        <v>258</v>
      </c>
      <c r="P85" t="s">
        <v>43</v>
      </c>
      <c r="Q85" t="b">
        <v>1</v>
      </c>
      <c r="R85" t="s">
        <v>55</v>
      </c>
      <c r="S85" t="s">
        <v>45</v>
      </c>
      <c r="T85" t="s">
        <v>46</v>
      </c>
      <c r="U85" t="s">
        <v>51</v>
      </c>
      <c r="V85" t="s">
        <v>38</v>
      </c>
      <c r="W85" t="s">
        <v>236</v>
      </c>
      <c r="X85" t="s">
        <v>59</v>
      </c>
      <c r="Y85">
        <v>9007199254741074</v>
      </c>
      <c r="Z85">
        <v>0</v>
      </c>
      <c r="AA85" t="s">
        <v>38</v>
      </c>
      <c r="AB85" t="b">
        <v>1</v>
      </c>
      <c r="AD85" s="3">
        <v>0.125</v>
      </c>
      <c r="AE85" s="2">
        <v>45927.5</v>
      </c>
      <c r="AF85" t="s">
        <v>60</v>
      </c>
    </row>
    <row r="86">
      <c r="A86" t="s">
        <v>237</v>
      </c>
      <c r="B86" s="2">
        <v>45926.5</v>
      </c>
      <c r="C86" t="s">
        <v>49</v>
      </c>
      <c r="D86" t="s">
        <f>'客户档案'!B4</f>
        <v>50</v>
      </c>
      <c r="E86" t="s">
        <v>64</v>
      </c>
      <c r="F86" t="s">
        <v>65</v>
      </c>
      <c r="G86" t="s">
        <f>'商品目录'!B5</f>
        <v>66</v>
      </c>
      <c r="H86" t="s">
        <v>67</v>
      </c>
      <c r="I86">
        <v>6</v>
      </c>
      <c r="J86" s="4">
        <v>45</v>
      </c>
      <c r="K86" s="4">
        <f>I86*J86</f>
        <v>270</v>
      </c>
      <c r="L86" s="3">
        <v>0</v>
      </c>
      <c r="M86" s="4">
        <f>K86*L86</f>
        <v>0</v>
      </c>
      <c r="N86" s="4">
        <v>10</v>
      </c>
      <c r="O86" s="4">
        <f>K86-M86+N86</f>
        <v>280</v>
      </c>
      <c r="P86" t="s">
        <v>43</v>
      </c>
      <c r="Q86" t="b">
        <v>1</v>
      </c>
      <c r="R86" t="s">
        <v>55</v>
      </c>
      <c r="S86" t="s">
        <v>56</v>
      </c>
      <c r="T86" t="s">
        <v>57</v>
      </c>
      <c r="U86" t="s">
        <v>70</v>
      </c>
      <c r="V86" t="s">
        <v>50</v>
      </c>
      <c r="W86" t="s">
        <v>238</v>
      </c>
      <c r="X86" t="s">
        <v>72</v>
      </c>
      <c r="Y86">
        <v>9007199254741075</v>
      </c>
      <c r="Z86">
        <v>0</v>
      </c>
      <c r="AA86" t="s">
        <v>50</v>
      </c>
      <c r="AB86" t="b">
        <v>0</v>
      </c>
      <c r="AD86" s="3">
        <v>0.125</v>
      </c>
      <c r="AE86" s="2">
        <v>45928.5</v>
      </c>
      <c r="AF86" t="s">
        <v>60</v>
      </c>
    </row>
    <row r="87">
      <c r="A87" t="s">
        <v>239</v>
      </c>
      <c r="B87" s="2">
        <v>45927.5</v>
      </c>
      <c r="C87" t="s">
        <v>62</v>
      </c>
      <c r="D87" t="s">
        <f>'客户档案'!B5</f>
        <v>63</v>
      </c>
      <c r="E87" t="s">
        <v>74</v>
      </c>
      <c r="F87" t="s">
        <v>75</v>
      </c>
      <c r="G87" t="s">
        <f>'商品目录'!B6</f>
        <v>76</v>
      </c>
      <c r="H87" t="s">
        <v>77</v>
      </c>
      <c r="I87">
        <v>8</v>
      </c>
      <c r="J87" s="4">
        <v>8</v>
      </c>
      <c r="K87" s="4">
        <f>I87*J87</f>
        <v>64</v>
      </c>
      <c r="L87" s="3">
        <v>0.5</v>
      </c>
      <c r="M87" s="4">
        <f>K87*L87</f>
        <v>32</v>
      </c>
      <c r="N87" s="4">
        <v>20</v>
      </c>
      <c r="O87" s="4">
        <f>K87-M87+N87</f>
        <v>52</v>
      </c>
      <c r="P87" t="s">
        <v>43</v>
      </c>
      <c r="Q87" t="b">
        <v>1</v>
      </c>
      <c r="R87" t="s">
        <v>55</v>
      </c>
      <c r="S87" t="s">
        <v>68</v>
      </c>
      <c r="T87" t="s">
        <v>69</v>
      </c>
      <c r="U87" t="s">
        <v>78</v>
      </c>
      <c r="V87" t="s">
        <v>63</v>
      </c>
      <c r="W87" t="s">
        <v>240</v>
      </c>
      <c r="X87" t="s">
        <v>80</v>
      </c>
      <c r="Y87">
        <v>9007199254741076</v>
      </c>
      <c r="Z87">
        <v>0</v>
      </c>
      <c r="AA87" t="s">
        <v>63</v>
      </c>
      <c r="AB87" t="b">
        <v>1</v>
      </c>
      <c r="AD87" s="3">
        <v>0.125</v>
      </c>
      <c r="AE87" s="2">
        <v>45929.5</v>
      </c>
      <c r="AF87" t="s">
        <v>60</v>
      </c>
    </row>
    <row r="88">
      <c r="A88" t="s">
        <v>241</v>
      </c>
      <c r="B88" s="2">
        <v>45900.5</v>
      </c>
      <c r="C88" t="s">
        <v>37</v>
      </c>
      <c r="D88" t="s">
        <f>'客户档案'!B3</f>
        <v>38</v>
      </c>
      <c r="E88" t="s">
        <v>39</v>
      </c>
      <c r="F88" t="s">
        <v>40</v>
      </c>
      <c r="G88" t="s">
        <f>'商品目录'!B3</f>
        <v>41</v>
      </c>
      <c r="H88" t="s">
        <v>42</v>
      </c>
      <c r="I88">
        <v>10</v>
      </c>
      <c r="J88" s="4">
        <v>99</v>
      </c>
      <c r="K88" s="4">
        <f>I88*J88</f>
        <v>990</v>
      </c>
      <c r="L88" s="3">
        <v>0</v>
      </c>
      <c r="M88" s="4">
        <f>K88*L88</f>
        <v>0</v>
      </c>
      <c r="N88" s="4">
        <v>0</v>
      </c>
      <c r="O88" s="4">
        <f>K88-M88+N88</f>
        <v>990</v>
      </c>
      <c r="P88" t="s">
        <v>43</v>
      </c>
      <c r="Q88" t="b">
        <v>0</v>
      </c>
      <c r="R88" t="s">
        <v>44</v>
      </c>
      <c r="S88" t="s">
        <v>45</v>
      </c>
      <c r="T88" t="s">
        <v>46</v>
      </c>
      <c r="U88" t="s">
        <v>39</v>
      </c>
      <c r="V88" t="s">
        <v>38</v>
      </c>
      <c r="W88" t="s">
        <v>242</v>
      </c>
      <c r="X88" t="s">
        <v>0</v>
      </c>
      <c r="Y88">
        <v>9007199254741077</v>
      </c>
      <c r="Z88">
        <v>0</v>
      </c>
      <c r="AA88" t="s">
        <v>38</v>
      </c>
      <c r="AB88" t="b">
        <v>0</v>
      </c>
      <c r="AD88" s="3">
        <v>0.125</v>
      </c>
      <c r="AE88" s="2">
        <v>45902.5</v>
      </c>
      <c r="AF88" t="s">
        <v>60</v>
      </c>
    </row>
    <row r="89">
      <c r="A89" t="s">
        <v>243</v>
      </c>
      <c r="B89" s="2">
        <v>45901.5</v>
      </c>
      <c r="C89" t="s">
        <v>49</v>
      </c>
      <c r="D89" t="s">
        <f>'客户档案'!B4</f>
        <v>50</v>
      </c>
      <c r="E89" t="s">
        <v>51</v>
      </c>
      <c r="F89" t="s">
        <v>52</v>
      </c>
      <c r="G89" t="s">
        <f>'商品目录'!B4</f>
        <v>53</v>
      </c>
      <c r="H89" t="s">
        <v>54</v>
      </c>
      <c r="I89">
        <v>2</v>
      </c>
      <c r="J89" s="4">
        <v>129</v>
      </c>
      <c r="K89" s="4">
        <f>I89*J89</f>
        <v>258</v>
      </c>
      <c r="L89" s="3">
        <v>0.5</v>
      </c>
      <c r="M89" s="4">
        <f>K89*L89</f>
        <v>129</v>
      </c>
      <c r="N89" s="4">
        <v>10</v>
      </c>
      <c r="O89" s="4">
        <f>K89-M89+N89</f>
        <v>139</v>
      </c>
      <c r="P89" t="s">
        <v>43</v>
      </c>
      <c r="Q89" t="b">
        <v>1</v>
      </c>
      <c r="R89" t="s">
        <v>55</v>
      </c>
      <c r="S89" t="s">
        <v>56</v>
      </c>
      <c r="T89" t="s">
        <v>57</v>
      </c>
      <c r="U89" t="s">
        <v>51</v>
      </c>
      <c r="V89" t="s">
        <v>50</v>
      </c>
      <c r="W89" t="s">
        <v>244</v>
      </c>
      <c r="X89" t="s">
        <v>59</v>
      </c>
      <c r="Y89">
        <v>9007199254741078</v>
      </c>
      <c r="Z89">
        <v>2</v>
      </c>
      <c r="AA89" t="s">
        <v>50</v>
      </c>
      <c r="AB89" t="b">
        <v>1</v>
      </c>
      <c r="AD89" s="3">
        <v>0.125</v>
      </c>
      <c r="AE89" s="2">
        <v>45903.5</v>
      </c>
      <c r="AF89" t="s">
        <v>60</v>
      </c>
    </row>
    <row r="90">
      <c r="A90" t="s">
        <v>245</v>
      </c>
      <c r="B90" s="2">
        <v>45902.5</v>
      </c>
      <c r="C90" t="s">
        <v>62</v>
      </c>
      <c r="D90" t="s">
        <f>'客户档案'!B5</f>
        <v>63</v>
      </c>
      <c r="E90" t="s">
        <v>64</v>
      </c>
      <c r="F90" t="s">
        <v>65</v>
      </c>
      <c r="G90" t="s">
        <f>'商品目录'!B5</f>
        <v>66</v>
      </c>
      <c r="H90" t="s">
        <v>67</v>
      </c>
      <c r="I90">
        <v>4</v>
      </c>
      <c r="J90" s="4">
        <v>45</v>
      </c>
      <c r="K90" s="4">
        <f>I90*J90</f>
        <v>180</v>
      </c>
      <c r="L90" s="3">
        <v>0</v>
      </c>
      <c r="M90" s="4">
        <f>K90*L90</f>
        <v>0</v>
      </c>
      <c r="N90" s="4">
        <v>20</v>
      </c>
      <c r="O90" s="4">
        <f>K90-M90+N90</f>
        <v>200</v>
      </c>
      <c r="P90" t="s">
        <v>43</v>
      </c>
      <c r="Q90" t="b">
        <v>1</v>
      </c>
      <c r="R90" t="s">
        <v>55</v>
      </c>
      <c r="S90" t="s">
        <v>68</v>
      </c>
      <c r="T90" t="s">
        <v>69</v>
      </c>
      <c r="U90" t="s">
        <v>70</v>
      </c>
      <c r="V90" t="s">
        <v>63</v>
      </c>
      <c r="W90" t="s">
        <v>246</v>
      </c>
      <c r="X90" t="s">
        <v>72</v>
      </c>
      <c r="Y90">
        <v>9007199254741079</v>
      </c>
      <c r="Z90">
        <v>0</v>
      </c>
      <c r="AA90" t="s">
        <v>63</v>
      </c>
      <c r="AB90" t="b">
        <v>0</v>
      </c>
      <c r="AD90" s="3">
        <v>0.125</v>
      </c>
      <c r="AE90" s="2">
        <v>45904.5</v>
      </c>
      <c r="AF90" t="s">
        <v>60</v>
      </c>
    </row>
    <row r="91">
      <c r="A91" t="s">
        <v>247</v>
      </c>
      <c r="B91" s="2">
        <v>45903.5</v>
      </c>
      <c r="C91" t="s">
        <v>37</v>
      </c>
      <c r="D91" t="s">
        <f>'客户档案'!B3</f>
        <v>38</v>
      </c>
      <c r="E91" t="s">
        <v>74</v>
      </c>
      <c r="F91" t="s">
        <v>75</v>
      </c>
      <c r="G91" t="s">
        <f>'商品目录'!B6</f>
        <v>76</v>
      </c>
      <c r="H91" t="s">
        <v>77</v>
      </c>
      <c r="I91">
        <v>6</v>
      </c>
      <c r="J91" s="4">
        <v>8</v>
      </c>
      <c r="K91" s="4">
        <f>I91*J91</f>
        <v>48</v>
      </c>
      <c r="L91" s="3">
        <v>0.5</v>
      </c>
      <c r="M91" s="4">
        <f>K91*L91</f>
        <v>24</v>
      </c>
      <c r="N91" s="4">
        <v>0</v>
      </c>
      <c r="O91" s="4">
        <f>K91-M91+N91</f>
        <v>24</v>
      </c>
      <c r="P91" t="s">
        <v>43</v>
      </c>
      <c r="Q91" t="b">
        <v>1</v>
      </c>
      <c r="R91" t="s">
        <v>55</v>
      </c>
      <c r="S91" t="s">
        <v>45</v>
      </c>
      <c r="T91" t="s">
        <v>46</v>
      </c>
      <c r="U91" t="s">
        <v>78</v>
      </c>
      <c r="V91" t="s">
        <v>38</v>
      </c>
      <c r="W91" t="s">
        <v>248</v>
      </c>
      <c r="X91" t="s">
        <v>80</v>
      </c>
      <c r="Y91">
        <v>9007199254741080</v>
      </c>
      <c r="Z91">
        <v>0</v>
      </c>
      <c r="AA91" t="s">
        <v>38</v>
      </c>
      <c r="AB91" t="b">
        <v>1</v>
      </c>
      <c r="AD91" s="3">
        <v>0.125</v>
      </c>
      <c r="AE91" s="2">
        <v>45905.5</v>
      </c>
      <c r="AF91" t="s">
        <v>60</v>
      </c>
    </row>
    <row r="92">
      <c r="A92" t="s">
        <v>249</v>
      </c>
      <c r="B92" s="2">
        <v>45904.5</v>
      </c>
      <c r="C92" t="s">
        <v>49</v>
      </c>
      <c r="D92" t="s">
        <f>'客户档案'!B4</f>
        <v>50</v>
      </c>
      <c r="E92" t="s">
        <v>39</v>
      </c>
      <c r="F92" t="s">
        <v>40</v>
      </c>
      <c r="G92" t="s">
        <f>'商品目录'!B3</f>
        <v>41</v>
      </c>
      <c r="H92" t="s">
        <v>42</v>
      </c>
      <c r="I92">
        <v>8</v>
      </c>
      <c r="J92" s="4">
        <v>99</v>
      </c>
      <c r="K92" s="4">
        <f>I92*J92</f>
        <v>792</v>
      </c>
      <c r="L92" s="3">
        <v>0</v>
      </c>
      <c r="M92" s="4">
        <f>K92*L92</f>
        <v>0</v>
      </c>
      <c r="N92" s="4">
        <v>10</v>
      </c>
      <c r="O92" s="4">
        <f>K92-M92+N92</f>
        <v>802</v>
      </c>
      <c r="P92" t="s">
        <v>43</v>
      </c>
      <c r="Q92" t="b">
        <v>0</v>
      </c>
      <c r="R92" t="s">
        <v>44</v>
      </c>
      <c r="S92" t="s">
        <v>56</v>
      </c>
      <c r="T92" t="s">
        <v>57</v>
      </c>
      <c r="U92" t="s">
        <v>39</v>
      </c>
      <c r="V92" t="s">
        <v>50</v>
      </c>
      <c r="W92" t="s">
        <v>250</v>
      </c>
      <c r="X92" t="s">
        <v>0</v>
      </c>
      <c r="Y92">
        <v>9007199254741081</v>
      </c>
      <c r="Z92">
        <v>0</v>
      </c>
      <c r="AA92" t="s">
        <v>50</v>
      </c>
      <c r="AB92" t="b">
        <v>0</v>
      </c>
      <c r="AD92" s="3">
        <v>0.125</v>
      </c>
      <c r="AE92" s="2">
        <v>45906.5</v>
      </c>
      <c r="AF92" t="s">
        <v>60</v>
      </c>
    </row>
    <row r="93">
      <c r="A93" t="s">
        <v>251</v>
      </c>
      <c r="B93" s="2">
        <v>45905.5</v>
      </c>
      <c r="C93" t="s">
        <v>62</v>
      </c>
      <c r="D93" t="s">
        <f>'客户档案'!B5</f>
        <v>63</v>
      </c>
      <c r="E93" t="s">
        <v>51</v>
      </c>
      <c r="F93" t="s">
        <v>52</v>
      </c>
      <c r="G93" t="s">
        <f>'商品目录'!B4</f>
        <v>53</v>
      </c>
      <c r="H93" t="s">
        <v>54</v>
      </c>
      <c r="I93">
        <v>10</v>
      </c>
      <c r="J93" s="4">
        <v>129</v>
      </c>
      <c r="K93" s="4">
        <f>I93*J93</f>
        <v>1290</v>
      </c>
      <c r="L93" s="3">
        <v>0.5</v>
      </c>
      <c r="M93" s="4">
        <f>K93*L93</f>
        <v>645</v>
      </c>
      <c r="N93" s="4">
        <v>20</v>
      </c>
      <c r="O93" s="4">
        <f>K93-M93+N93</f>
        <v>665</v>
      </c>
      <c r="P93" t="s">
        <v>43</v>
      </c>
      <c r="Q93" t="b">
        <v>1</v>
      </c>
      <c r="R93" t="s">
        <v>55</v>
      </c>
      <c r="S93" t="s">
        <v>68</v>
      </c>
      <c r="T93" t="s">
        <v>69</v>
      </c>
      <c r="U93" t="s">
        <v>51</v>
      </c>
      <c r="V93" t="s">
        <v>63</v>
      </c>
      <c r="W93" t="s">
        <v>252</v>
      </c>
      <c r="X93" t="s">
        <v>59</v>
      </c>
      <c r="Y93">
        <v>9007199254741082</v>
      </c>
      <c r="Z93">
        <v>0</v>
      </c>
      <c r="AA93" t="s">
        <v>63</v>
      </c>
      <c r="AB93" t="b">
        <v>1</v>
      </c>
      <c r="AD93" s="3">
        <v>0.125</v>
      </c>
      <c r="AE93" s="2">
        <v>45907.5</v>
      </c>
      <c r="AF93" t="s">
        <v>60</v>
      </c>
    </row>
    <row r="94">
      <c r="A94" t="s">
        <v>253</v>
      </c>
      <c r="B94" s="2">
        <v>45906.5</v>
      </c>
      <c r="C94" t="s">
        <v>37</v>
      </c>
      <c r="D94" t="s">
        <f>'客户档案'!B3</f>
        <v>38</v>
      </c>
      <c r="E94" t="s">
        <v>64</v>
      </c>
      <c r="F94" t="s">
        <v>65</v>
      </c>
      <c r="G94" t="s">
        <f>'商品目录'!B5</f>
        <v>66</v>
      </c>
      <c r="H94" t="s">
        <v>67</v>
      </c>
      <c r="I94">
        <v>2</v>
      </c>
      <c r="J94" s="4">
        <v>45</v>
      </c>
      <c r="K94" s="4">
        <f>I94*J94</f>
        <v>90</v>
      </c>
      <c r="L94" s="3">
        <v>0</v>
      </c>
      <c r="M94" s="4">
        <f>K94*L94</f>
        <v>0</v>
      </c>
      <c r="N94" s="4">
        <v>0</v>
      </c>
      <c r="O94" s="4">
        <f>K94-M94+N94</f>
        <v>90</v>
      </c>
      <c r="P94" t="s">
        <v>43</v>
      </c>
      <c r="Q94" t="b">
        <v>1</v>
      </c>
      <c r="R94" t="s">
        <v>55</v>
      </c>
      <c r="S94" t="s">
        <v>45</v>
      </c>
      <c r="T94" t="s">
        <v>46</v>
      </c>
      <c r="U94" t="s">
        <v>70</v>
      </c>
      <c r="V94" t="s">
        <v>38</v>
      </c>
      <c r="W94" t="s">
        <v>254</v>
      </c>
      <c r="X94" t="s">
        <v>72</v>
      </c>
      <c r="Y94">
        <v>9007199254741083</v>
      </c>
      <c r="Z94">
        <v>0</v>
      </c>
      <c r="AA94" t="s">
        <v>38</v>
      </c>
      <c r="AB94" t="b">
        <v>0</v>
      </c>
      <c r="AD94" s="3">
        <v>0.125</v>
      </c>
      <c r="AE94" s="2">
        <v>45908.5</v>
      </c>
      <c r="AF94" t="s">
        <v>60</v>
      </c>
    </row>
    <row r="95">
      <c r="A95" t="s">
        <v>255</v>
      </c>
      <c r="B95" s="2">
        <v>45907.5</v>
      </c>
      <c r="C95" t="s">
        <v>49</v>
      </c>
      <c r="D95" t="s">
        <f>'客户档案'!B4</f>
        <v>50</v>
      </c>
      <c r="E95" t="s">
        <v>74</v>
      </c>
      <c r="F95" t="s">
        <v>75</v>
      </c>
      <c r="G95" t="s">
        <f>'商品目录'!B6</f>
        <v>76</v>
      </c>
      <c r="H95" t="s">
        <v>77</v>
      </c>
      <c r="I95">
        <v>4</v>
      </c>
      <c r="J95" s="4">
        <v>8</v>
      </c>
      <c r="K95" s="4">
        <f>I95*J95</f>
        <v>32</v>
      </c>
      <c r="L95" s="3">
        <v>0.5</v>
      </c>
      <c r="M95" s="4">
        <f>K95*L95</f>
        <v>16</v>
      </c>
      <c r="N95" s="4">
        <v>10</v>
      </c>
      <c r="O95" s="4">
        <f>K95-M95+N95</f>
        <v>26</v>
      </c>
      <c r="P95" t="s">
        <v>43</v>
      </c>
      <c r="Q95" t="b">
        <v>1</v>
      </c>
      <c r="R95" t="s">
        <v>55</v>
      </c>
      <c r="S95" t="s">
        <v>56</v>
      </c>
      <c r="T95" t="s">
        <v>57</v>
      </c>
      <c r="U95" t="s">
        <v>78</v>
      </c>
      <c r="V95" t="s">
        <v>50</v>
      </c>
      <c r="W95" t="s">
        <v>256</v>
      </c>
      <c r="X95" t="s">
        <v>80</v>
      </c>
      <c r="Y95">
        <v>9007199254741084</v>
      </c>
      <c r="Z95">
        <v>0</v>
      </c>
      <c r="AA95" t="s">
        <v>50</v>
      </c>
      <c r="AB95" t="b">
        <v>1</v>
      </c>
      <c r="AD95" s="3">
        <v>0.125</v>
      </c>
      <c r="AE95" s="2">
        <v>45909.5</v>
      </c>
      <c r="AF95" t="s">
        <v>60</v>
      </c>
    </row>
    <row r="96">
      <c r="A96" t="s">
        <v>257</v>
      </c>
      <c r="B96" s="2">
        <v>45908.5</v>
      </c>
      <c r="C96" t="s">
        <v>62</v>
      </c>
      <c r="D96" t="s">
        <f>'客户档案'!B5</f>
        <v>63</v>
      </c>
      <c r="E96" t="s">
        <v>39</v>
      </c>
      <c r="F96" t="s">
        <v>40</v>
      </c>
      <c r="G96" t="s">
        <f>'商品目录'!B3</f>
        <v>41</v>
      </c>
      <c r="H96" t="s">
        <v>42</v>
      </c>
      <c r="I96">
        <v>6</v>
      </c>
      <c r="J96" s="4">
        <v>99</v>
      </c>
      <c r="K96" s="4">
        <f>I96*J96</f>
        <v>594</v>
      </c>
      <c r="L96" s="3">
        <v>0</v>
      </c>
      <c r="M96" s="4">
        <f>K96*L96</f>
        <v>0</v>
      </c>
      <c r="N96" s="4">
        <v>20</v>
      </c>
      <c r="O96" s="4">
        <f>K96-M96+N96</f>
        <v>614</v>
      </c>
      <c r="P96" t="s">
        <v>43</v>
      </c>
      <c r="Q96" t="b">
        <v>0</v>
      </c>
      <c r="R96" t="s">
        <v>44</v>
      </c>
      <c r="S96" t="s">
        <v>68</v>
      </c>
      <c r="T96" t="s">
        <v>69</v>
      </c>
      <c r="U96" t="s">
        <v>39</v>
      </c>
      <c r="V96" t="s">
        <v>63</v>
      </c>
      <c r="W96" t="s">
        <v>258</v>
      </c>
      <c r="X96" t="s">
        <v>0</v>
      </c>
      <c r="Y96">
        <v>9007199254741085</v>
      </c>
      <c r="Z96">
        <v>0</v>
      </c>
      <c r="AA96" t="s">
        <v>63</v>
      </c>
      <c r="AB96" t="b">
        <v>0</v>
      </c>
      <c r="AD96" s="3">
        <v>0.125</v>
      </c>
      <c r="AE96" s="2">
        <v>45910.5</v>
      </c>
      <c r="AF96" t="s">
        <v>60</v>
      </c>
    </row>
    <row r="97">
      <c r="A97" t="s">
        <v>259</v>
      </c>
      <c r="B97" s="2">
        <v>45909.5</v>
      </c>
      <c r="C97" t="s">
        <v>37</v>
      </c>
      <c r="D97" t="s">
        <f>'客户档案'!B3</f>
        <v>38</v>
      </c>
      <c r="E97" t="s">
        <v>51</v>
      </c>
      <c r="F97" t="s">
        <v>52</v>
      </c>
      <c r="G97" t="s">
        <f>'商品目录'!B4</f>
        <v>53</v>
      </c>
      <c r="H97" t="s">
        <v>54</v>
      </c>
      <c r="I97">
        <v>8</v>
      </c>
      <c r="J97" s="4">
        <v>129</v>
      </c>
      <c r="K97" s="4">
        <f>I97*J97</f>
        <v>1032</v>
      </c>
      <c r="L97" s="3">
        <v>0.5</v>
      </c>
      <c r="M97" s="4">
        <f>K97*L97</f>
        <v>516</v>
      </c>
      <c r="N97" s="4">
        <v>0</v>
      </c>
      <c r="O97" s="4">
        <f>K97-M97+N97</f>
        <v>516</v>
      </c>
      <c r="P97" t="s">
        <v>43</v>
      </c>
      <c r="Q97" t="b">
        <v>1</v>
      </c>
      <c r="R97" t="s">
        <v>55</v>
      </c>
      <c r="S97" t="s">
        <v>45</v>
      </c>
      <c r="T97" t="s">
        <v>46</v>
      </c>
      <c r="U97" t="s">
        <v>51</v>
      </c>
      <c r="V97" t="s">
        <v>38</v>
      </c>
      <c r="W97" t="s">
        <v>260</v>
      </c>
      <c r="X97" t="s">
        <v>59</v>
      </c>
      <c r="Y97">
        <v>9007199254741086</v>
      </c>
      <c r="Z97">
        <v>0</v>
      </c>
      <c r="AA97" t="s">
        <v>38</v>
      </c>
      <c r="AB97" t="b">
        <v>1</v>
      </c>
      <c r="AD97" s="3">
        <v>0.125</v>
      </c>
      <c r="AE97" s="2">
        <v>45911.5</v>
      </c>
      <c r="AF97" t="s">
        <v>60</v>
      </c>
    </row>
    <row r="98">
      <c r="A98" t="s">
        <v>261</v>
      </c>
      <c r="B98" s="2">
        <v>45910.5</v>
      </c>
      <c r="C98" t="s">
        <v>49</v>
      </c>
      <c r="D98" t="s">
        <f>'客户档案'!B4</f>
        <v>50</v>
      </c>
      <c r="E98" t="s">
        <v>64</v>
      </c>
      <c r="F98" t="s">
        <v>65</v>
      </c>
      <c r="G98" t="s">
        <f>'商品目录'!B5</f>
        <v>66</v>
      </c>
      <c r="H98" t="s">
        <v>67</v>
      </c>
      <c r="I98">
        <v>10</v>
      </c>
      <c r="J98" s="4">
        <v>45</v>
      </c>
      <c r="K98" s="4">
        <f>I98*J98</f>
        <v>450</v>
      </c>
      <c r="L98" s="3">
        <v>0</v>
      </c>
      <c r="M98" s="4">
        <f>K98*L98</f>
        <v>0</v>
      </c>
      <c r="N98" s="4">
        <v>10</v>
      </c>
      <c r="O98" s="4">
        <f>K98-M98+N98</f>
        <v>460</v>
      </c>
      <c r="P98" t="s">
        <v>43</v>
      </c>
      <c r="Q98" t="b">
        <v>1</v>
      </c>
      <c r="R98" t="s">
        <v>55</v>
      </c>
      <c r="S98" t="s">
        <v>56</v>
      </c>
      <c r="T98" t="s">
        <v>57</v>
      </c>
      <c r="U98" t="s">
        <v>70</v>
      </c>
      <c r="V98" t="s">
        <v>50</v>
      </c>
      <c r="W98" t="s">
        <v>262</v>
      </c>
      <c r="X98" t="s">
        <v>72</v>
      </c>
      <c r="Y98">
        <v>9007199254741087</v>
      </c>
      <c r="Z98">
        <v>0</v>
      </c>
      <c r="AA98" t="s">
        <v>50</v>
      </c>
      <c r="AB98" t="b">
        <v>0</v>
      </c>
      <c r="AD98" s="3">
        <v>0.125</v>
      </c>
      <c r="AE98" s="2">
        <v>45912.5</v>
      </c>
      <c r="AF98" t="s">
        <v>60</v>
      </c>
    </row>
    <row r="99">
      <c r="A99" t="s">
        <v>263</v>
      </c>
      <c r="B99" s="2">
        <v>45911.5</v>
      </c>
      <c r="C99" t="s">
        <v>62</v>
      </c>
      <c r="D99" t="s">
        <f>'客户档案'!B5</f>
        <v>63</v>
      </c>
      <c r="E99" t="s">
        <v>74</v>
      </c>
      <c r="F99" t="s">
        <v>75</v>
      </c>
      <c r="G99" t="s">
        <f>'商品目录'!B6</f>
        <v>76</v>
      </c>
      <c r="H99" t="s">
        <v>77</v>
      </c>
      <c r="I99">
        <v>2</v>
      </c>
      <c r="J99" s="4">
        <v>8</v>
      </c>
      <c r="K99" s="4">
        <f>I99*J99</f>
        <v>16</v>
      </c>
      <c r="L99" s="3">
        <v>0.5</v>
      </c>
      <c r="M99" s="4">
        <f>K99*L99</f>
        <v>8</v>
      </c>
      <c r="N99" s="4">
        <v>20</v>
      </c>
      <c r="O99" s="4">
        <f>K99-M99+N99</f>
        <v>28</v>
      </c>
      <c r="P99" t="s">
        <v>43</v>
      </c>
      <c r="Q99" t="b">
        <v>1</v>
      </c>
      <c r="R99" t="s">
        <v>55</v>
      </c>
      <c r="S99" t="s">
        <v>68</v>
      </c>
      <c r="T99" t="s">
        <v>69</v>
      </c>
      <c r="U99" t="s">
        <v>78</v>
      </c>
      <c r="V99" t="s">
        <v>63</v>
      </c>
      <c r="W99" t="s">
        <v>264</v>
      </c>
      <c r="X99" t="s">
        <v>80</v>
      </c>
      <c r="Y99">
        <v>9007199254741088</v>
      </c>
      <c r="Z99">
        <v>0</v>
      </c>
      <c r="AA99" t="s">
        <v>63</v>
      </c>
      <c r="AB99" t="b">
        <v>1</v>
      </c>
      <c r="AD99" s="3">
        <v>0.125</v>
      </c>
      <c r="AE99" s="2">
        <v>45913.5</v>
      </c>
      <c r="AF99" t="s">
        <v>60</v>
      </c>
    </row>
    <row r="100">
      <c r="A100" t="s">
        <v>265</v>
      </c>
      <c r="B100" s="2">
        <v>45912.5</v>
      </c>
      <c r="C100" t="s">
        <v>37</v>
      </c>
      <c r="D100" t="s">
        <f>'客户档案'!B3</f>
        <v>38</v>
      </c>
      <c r="E100" t="s">
        <v>39</v>
      </c>
      <c r="F100" t="s">
        <v>40</v>
      </c>
      <c r="G100" t="s">
        <f>'商品目录'!B3</f>
        <v>41</v>
      </c>
      <c r="H100" t="s">
        <v>42</v>
      </c>
      <c r="I100">
        <v>4</v>
      </c>
      <c r="J100" s="4">
        <v>99</v>
      </c>
      <c r="K100" s="4">
        <f>I100*J100</f>
        <v>396</v>
      </c>
      <c r="L100" s="3">
        <v>0</v>
      </c>
      <c r="M100" s="4">
        <f>K100*L100</f>
        <v>0</v>
      </c>
      <c r="N100" s="4">
        <v>0</v>
      </c>
      <c r="O100" s="4">
        <f>K100-M100+N100</f>
        <v>396</v>
      </c>
      <c r="P100" t="s">
        <v>43</v>
      </c>
      <c r="Q100" t="b">
        <v>0</v>
      </c>
      <c r="R100" t="s">
        <v>44</v>
      </c>
      <c r="S100" t="s">
        <v>45</v>
      </c>
      <c r="T100" t="s">
        <v>46</v>
      </c>
      <c r="U100" t="s">
        <v>39</v>
      </c>
      <c r="V100" t="s">
        <v>38</v>
      </c>
      <c r="W100" t="s">
        <v>266</v>
      </c>
      <c r="X100" t="s">
        <v>0</v>
      </c>
      <c r="Y100">
        <v>9007199254741089</v>
      </c>
      <c r="Z100">
        <v>0</v>
      </c>
      <c r="AA100" t="s">
        <v>38</v>
      </c>
      <c r="AB100" t="b">
        <v>0</v>
      </c>
      <c r="AD100" s="3">
        <v>0.125</v>
      </c>
      <c r="AE100" s="2">
        <v>45914.5</v>
      </c>
      <c r="AF100" t="s">
        <v>60</v>
      </c>
    </row>
    <row r="101">
      <c r="A101" t="s">
        <v>267</v>
      </c>
      <c r="B101" s="2">
        <v>45913.5</v>
      </c>
      <c r="C101" t="s">
        <v>49</v>
      </c>
      <c r="D101" t="s">
        <f>'客户档案'!B4</f>
        <v>50</v>
      </c>
      <c r="E101" t="s">
        <v>51</v>
      </c>
      <c r="F101" t="s">
        <v>52</v>
      </c>
      <c r="G101" t="s">
        <f>'商品目录'!B4</f>
        <v>53</v>
      </c>
      <c r="H101" t="s">
        <v>54</v>
      </c>
      <c r="I101">
        <v>6</v>
      </c>
      <c r="J101" s="4">
        <v>129</v>
      </c>
      <c r="K101" s="4">
        <f>I101*J101</f>
        <v>774</v>
      </c>
      <c r="L101" s="3">
        <v>0.5</v>
      </c>
      <c r="M101" s="4">
        <f>K101*L101</f>
        <v>387</v>
      </c>
      <c r="N101" s="4">
        <v>10</v>
      </c>
      <c r="O101" s="4">
        <f>K101-M101+N101</f>
        <v>397</v>
      </c>
      <c r="P101" t="s">
        <v>43</v>
      </c>
      <c r="Q101" t="b">
        <v>1</v>
      </c>
      <c r="R101" t="s">
        <v>55</v>
      </c>
      <c r="S101" t="s">
        <v>56</v>
      </c>
      <c r="T101" t="s">
        <v>57</v>
      </c>
      <c r="U101" t="s">
        <v>51</v>
      </c>
      <c r="V101" t="s">
        <v>50</v>
      </c>
      <c r="W101" t="s">
        <v>268</v>
      </c>
      <c r="X101" t="s">
        <v>59</v>
      </c>
      <c r="Y101">
        <v>9007199254741090</v>
      </c>
      <c r="Z101">
        <v>0</v>
      </c>
      <c r="AA101" t="s">
        <v>50</v>
      </c>
      <c r="AB101" t="b">
        <v>1</v>
      </c>
      <c r="AD101" s="3">
        <v>0.125</v>
      </c>
      <c r="AE101" s="2">
        <v>45915.5</v>
      </c>
      <c r="AF101" t="s">
        <v>60</v>
      </c>
    </row>
    <row r="102">
      <c r="A102" t="s">
        <v>269</v>
      </c>
      <c r="B102" s="2">
        <v>45914.5</v>
      </c>
      <c r="C102" t="s">
        <v>62</v>
      </c>
      <c r="D102" t="s">
        <f>'客户档案'!B5</f>
        <v>63</v>
      </c>
      <c r="E102" t="s">
        <v>64</v>
      </c>
      <c r="F102" t="s">
        <v>65</v>
      </c>
      <c r="G102" t="s">
        <f>'商品目录'!B5</f>
        <v>66</v>
      </c>
      <c r="H102" t="s">
        <v>67</v>
      </c>
      <c r="I102">
        <v>8</v>
      </c>
      <c r="J102" s="4">
        <v>45</v>
      </c>
      <c r="K102" s="4">
        <f>I102*J102</f>
        <v>360</v>
      </c>
      <c r="L102" s="3">
        <v>0</v>
      </c>
      <c r="M102" s="4">
        <f>K102*L102</f>
        <v>0</v>
      </c>
      <c r="N102" s="4">
        <v>20</v>
      </c>
      <c r="O102" s="4">
        <f>K102-M102+N102</f>
        <v>380</v>
      </c>
      <c r="P102" t="s">
        <v>43</v>
      </c>
      <c r="Q102" t="b">
        <v>1</v>
      </c>
      <c r="R102" t="s">
        <v>55</v>
      </c>
      <c r="S102" t="s">
        <v>68</v>
      </c>
      <c r="T102" t="s">
        <v>69</v>
      </c>
      <c r="U102" t="s">
        <v>70</v>
      </c>
      <c r="V102" t="s">
        <v>63</v>
      </c>
      <c r="W102" t="s">
        <v>270</v>
      </c>
      <c r="X102" t="s">
        <v>72</v>
      </c>
      <c r="Y102">
        <v>9007199254741091</v>
      </c>
      <c r="Z102">
        <v>0</v>
      </c>
      <c r="AA102" t="s">
        <v>63</v>
      </c>
      <c r="AB102" t="b">
        <v>0</v>
      </c>
      <c r="AD102" s="3">
        <v>0.125</v>
      </c>
      <c r="AE102" s="2">
        <v>45916.5</v>
      </c>
      <c r="AF102" t="s">
        <v>60</v>
      </c>
    </row>
    <row r="103">
      <c r="A103" t="s">
        <v>271</v>
      </c>
      <c r="B103" s="2">
        <v>45915.5</v>
      </c>
      <c r="C103" t="s">
        <v>37</v>
      </c>
      <c r="D103" t="s">
        <f>'客户档案'!B3</f>
        <v>38</v>
      </c>
      <c r="E103" t="s">
        <v>74</v>
      </c>
      <c r="F103" t="s">
        <v>75</v>
      </c>
      <c r="G103" t="s">
        <f>'商品目录'!B6</f>
        <v>76</v>
      </c>
      <c r="H103" t="s">
        <v>77</v>
      </c>
      <c r="I103">
        <v>10</v>
      </c>
      <c r="J103" s="4">
        <v>8</v>
      </c>
      <c r="K103" s="4">
        <f>I103*J103</f>
        <v>80</v>
      </c>
      <c r="L103" s="3">
        <v>0.5</v>
      </c>
      <c r="M103" s="4">
        <f>K103*L103</f>
        <v>40</v>
      </c>
      <c r="N103" s="4">
        <v>0</v>
      </c>
      <c r="O103" s="4">
        <f>K103-M103+N103</f>
        <v>40</v>
      </c>
      <c r="P103" t="s">
        <v>43</v>
      </c>
      <c r="Q103" t="b">
        <v>1</v>
      </c>
      <c r="R103" t="s">
        <v>55</v>
      </c>
      <c r="S103" t="s">
        <v>45</v>
      </c>
      <c r="T103" t="s">
        <v>46</v>
      </c>
      <c r="U103" t="s">
        <v>78</v>
      </c>
      <c r="V103" t="s">
        <v>38</v>
      </c>
      <c r="W103" t="s">
        <v>272</v>
      </c>
      <c r="X103" t="s">
        <v>80</v>
      </c>
      <c r="Y103">
        <v>9007199254741092</v>
      </c>
      <c r="Z103">
        <v>0</v>
      </c>
      <c r="AA103" t="s">
        <v>38</v>
      </c>
      <c r="AB103" t="b">
        <v>1</v>
      </c>
      <c r="AD103" s="3">
        <v>0.125</v>
      </c>
      <c r="AE103" s="2">
        <v>45917.5</v>
      </c>
      <c r="AF103" t="s">
        <v>60</v>
      </c>
    </row>
    <row r="104">
      <c r="A104" t="s">
        <v>273</v>
      </c>
      <c r="B104" s="2">
        <v>45916.5</v>
      </c>
      <c r="C104" t="s">
        <v>49</v>
      </c>
      <c r="D104" t="s">
        <f>'客户档案'!B4</f>
        <v>50</v>
      </c>
      <c r="E104" t="s">
        <v>39</v>
      </c>
      <c r="F104" t="s">
        <v>40</v>
      </c>
      <c r="G104" t="s">
        <f>'商品目录'!B3</f>
        <v>41</v>
      </c>
      <c r="H104" t="s">
        <v>42</v>
      </c>
      <c r="I104">
        <v>2</v>
      </c>
      <c r="J104" s="4">
        <v>99</v>
      </c>
      <c r="K104" s="4">
        <f>I104*J104</f>
        <v>198</v>
      </c>
      <c r="L104" s="3">
        <v>0</v>
      </c>
      <c r="M104" s="4">
        <f>K104*L104</f>
        <v>0</v>
      </c>
      <c r="N104" s="4">
        <v>10</v>
      </c>
      <c r="O104" s="4">
        <f>K104-M104+N104</f>
        <v>208</v>
      </c>
      <c r="P104" t="s">
        <v>43</v>
      </c>
      <c r="Q104" t="b">
        <v>0</v>
      </c>
      <c r="R104" t="s">
        <v>44</v>
      </c>
      <c r="S104" t="s">
        <v>56</v>
      </c>
      <c r="T104" t="s">
        <v>57</v>
      </c>
      <c r="U104" t="s">
        <v>39</v>
      </c>
      <c r="V104" t="s">
        <v>50</v>
      </c>
      <c r="W104" t="s">
        <v>274</v>
      </c>
      <c r="X104" t="s">
        <v>0</v>
      </c>
      <c r="Y104">
        <v>9007199254741093</v>
      </c>
      <c r="Z104">
        <v>0</v>
      </c>
      <c r="AA104" t="s">
        <v>50</v>
      </c>
      <c r="AB104" t="b">
        <v>0</v>
      </c>
      <c r="AD104" s="3">
        <v>0.125</v>
      </c>
      <c r="AE104" s="2">
        <v>45918.5</v>
      </c>
      <c r="AF104" t="s">
        <v>60</v>
      </c>
    </row>
    <row r="105">
      <c r="A105" t="s">
        <v>275</v>
      </c>
      <c r="B105" s="2">
        <v>45917.5</v>
      </c>
      <c r="C105" t="s">
        <v>62</v>
      </c>
      <c r="D105" t="s">
        <f>'客户档案'!B5</f>
        <v>63</v>
      </c>
      <c r="E105" t="s">
        <v>51</v>
      </c>
      <c r="F105" t="s">
        <v>52</v>
      </c>
      <c r="G105" t="s">
        <f>'商品目录'!B4</f>
        <v>53</v>
      </c>
      <c r="H105" t="s">
        <v>54</v>
      </c>
      <c r="I105">
        <v>4</v>
      </c>
      <c r="J105" s="4">
        <v>129</v>
      </c>
      <c r="K105" s="4">
        <f>I105*J105</f>
        <v>516</v>
      </c>
      <c r="L105" s="3">
        <v>0.5</v>
      </c>
      <c r="M105" s="4">
        <f>K105*L105</f>
        <v>258</v>
      </c>
      <c r="N105" s="4">
        <v>20</v>
      </c>
      <c r="O105" s="4">
        <f>K105-M105+N105</f>
        <v>278</v>
      </c>
      <c r="P105" t="s">
        <v>43</v>
      </c>
      <c r="Q105" t="b">
        <v>1</v>
      </c>
      <c r="R105" t="s">
        <v>55</v>
      </c>
      <c r="S105" t="s">
        <v>68</v>
      </c>
      <c r="T105" t="s">
        <v>69</v>
      </c>
      <c r="U105" t="s">
        <v>51</v>
      </c>
      <c r="V105" t="s">
        <v>63</v>
      </c>
      <c r="W105" t="s">
        <v>276</v>
      </c>
      <c r="X105" t="s">
        <v>59</v>
      </c>
      <c r="Y105">
        <v>9007199254741094</v>
      </c>
      <c r="Z105">
        <v>0</v>
      </c>
      <c r="AA105" t="s">
        <v>63</v>
      </c>
      <c r="AB105" t="b">
        <v>1</v>
      </c>
      <c r="AD105" s="3">
        <v>0.125</v>
      </c>
      <c r="AE105" s="2">
        <v>45919.5</v>
      </c>
      <c r="AF105" t="e">
        <v>#N/A</v>
      </c>
    </row>
    <row r="106">
      <c r="A106" t="s">
        <v>277</v>
      </c>
      <c r="B106" s="2">
        <v>45918.5</v>
      </c>
      <c r="C106" t="s">
        <v>37</v>
      </c>
      <c r="D106" t="s">
        <f>'客户档案'!B3</f>
        <v>38</v>
      </c>
      <c r="E106" t="s">
        <v>64</v>
      </c>
      <c r="F106" t="s">
        <v>65</v>
      </c>
      <c r="G106" t="s">
        <f>'商品目录'!B5</f>
        <v>66</v>
      </c>
      <c r="H106" t="s">
        <v>67</v>
      </c>
      <c r="I106">
        <v>6</v>
      </c>
      <c r="J106" s="4">
        <v>45</v>
      </c>
      <c r="K106" s="4">
        <f>I106*J106</f>
        <v>270</v>
      </c>
      <c r="L106" s="3">
        <v>0</v>
      </c>
      <c r="M106" s="4">
        <f>K106*L106</f>
        <v>0</v>
      </c>
      <c r="N106" s="4">
        <v>0</v>
      </c>
      <c r="O106" s="4">
        <f>K106-M106+N106</f>
        <v>270</v>
      </c>
      <c r="P106" t="s">
        <v>43</v>
      </c>
      <c r="Q106" t="b">
        <v>1</v>
      </c>
      <c r="R106" t="s">
        <v>55</v>
      </c>
      <c r="S106" t="s">
        <v>45</v>
      </c>
      <c r="T106" t="s">
        <v>46</v>
      </c>
      <c r="U106" t="s">
        <v>70</v>
      </c>
      <c r="V106" t="s">
        <v>38</v>
      </c>
      <c r="W106" t="s">
        <v>278</v>
      </c>
      <c r="X106" t="s">
        <v>72</v>
      </c>
      <c r="Y106">
        <v>9007199254741095</v>
      </c>
      <c r="Z106">
        <v>2</v>
      </c>
      <c r="AA106" t="s">
        <v>38</v>
      </c>
      <c r="AB106" t="b">
        <v>0</v>
      </c>
      <c r="AD106" s="3">
        <v>0.125</v>
      </c>
      <c r="AE106" s="2">
        <v>45920.5</v>
      </c>
      <c r="AF106" t="s">
        <v>60</v>
      </c>
    </row>
    <row r="107">
      <c r="A107" t="s">
        <v>279</v>
      </c>
      <c r="B107" s="2">
        <v>45919.5</v>
      </c>
      <c r="C107" t="s">
        <v>49</v>
      </c>
      <c r="D107" t="s">
        <f>'客户档案'!B4</f>
        <v>50</v>
      </c>
      <c r="E107" t="s">
        <v>74</v>
      </c>
      <c r="F107" t="s">
        <v>75</v>
      </c>
      <c r="G107" t="s">
        <f>'商品目录'!B6</f>
        <v>76</v>
      </c>
      <c r="H107" t="s">
        <v>77</v>
      </c>
      <c r="I107">
        <v>8</v>
      </c>
      <c r="J107" s="4">
        <v>8</v>
      </c>
      <c r="K107" s="4">
        <f>I107*J107</f>
        <v>64</v>
      </c>
      <c r="L107" s="3">
        <v>0.5</v>
      </c>
      <c r="M107" s="4">
        <f>K107*L107</f>
        <v>32</v>
      </c>
      <c r="N107" s="4">
        <v>10</v>
      </c>
      <c r="O107" s="4">
        <f>K107-M107+N107</f>
        <v>42</v>
      </c>
      <c r="P107" t="s">
        <v>43</v>
      </c>
      <c r="Q107" t="b">
        <v>1</v>
      </c>
      <c r="R107" t="s">
        <v>55</v>
      </c>
      <c r="S107" t="s">
        <v>56</v>
      </c>
      <c r="T107" t="s">
        <v>57</v>
      </c>
      <c r="U107" t="s">
        <v>78</v>
      </c>
      <c r="V107" t="s">
        <v>50</v>
      </c>
      <c r="W107" t="s">
        <v>280</v>
      </c>
      <c r="X107" t="s">
        <v>80</v>
      </c>
      <c r="Y107">
        <v>9007199254741096</v>
      </c>
      <c r="Z107">
        <v>0</v>
      </c>
      <c r="AA107" t="s">
        <v>50</v>
      </c>
      <c r="AB107" t="b">
        <v>1</v>
      </c>
      <c r="AD107" s="3">
        <v>0.125</v>
      </c>
      <c r="AE107" s="2">
        <v>45921.5</v>
      </c>
      <c r="AF107" t="s">
        <v>60</v>
      </c>
    </row>
    <row r="108">
      <c r="A108" t="s">
        <v>281</v>
      </c>
      <c r="B108" s="2">
        <v>45920.5</v>
      </c>
      <c r="C108" t="s">
        <v>62</v>
      </c>
      <c r="D108" t="s">
        <f>'客户档案'!B5</f>
        <v>63</v>
      </c>
      <c r="E108" t="s">
        <v>39</v>
      </c>
      <c r="F108" t="s">
        <v>40</v>
      </c>
      <c r="G108" t="s">
        <f>'商品目录'!B3</f>
        <v>41</v>
      </c>
      <c r="H108" t="s">
        <v>42</v>
      </c>
      <c r="I108">
        <v>10</v>
      </c>
      <c r="J108" s="4">
        <v>99</v>
      </c>
      <c r="K108" s="4">
        <f>I108*J108</f>
        <v>990</v>
      </c>
      <c r="L108" s="3">
        <v>0</v>
      </c>
      <c r="M108" s="4">
        <f>K108*L108</f>
        <v>0</v>
      </c>
      <c r="N108" s="4">
        <v>20</v>
      </c>
      <c r="O108" s="4">
        <f>K108-M108+N108</f>
        <v>1010</v>
      </c>
      <c r="P108" t="s">
        <v>43</v>
      </c>
      <c r="Q108" t="b">
        <v>0</v>
      </c>
      <c r="R108" t="s">
        <v>44</v>
      </c>
      <c r="S108" t="s">
        <v>68</v>
      </c>
      <c r="T108" t="s">
        <v>69</v>
      </c>
      <c r="U108" t="s">
        <v>39</v>
      </c>
      <c r="V108" t="s">
        <v>63</v>
      </c>
      <c r="W108" t="s">
        <v>282</v>
      </c>
      <c r="X108" t="s">
        <v>0</v>
      </c>
      <c r="Y108">
        <v>9007199254741097</v>
      </c>
      <c r="Z108">
        <v>0</v>
      </c>
      <c r="AA108" t="s">
        <v>63</v>
      </c>
      <c r="AB108" t="b">
        <v>0</v>
      </c>
      <c r="AD108" s="3">
        <v>0.125</v>
      </c>
      <c r="AE108" s="2">
        <v>45922.5</v>
      </c>
      <c r="AF108" t="s">
        <v>60</v>
      </c>
    </row>
    <row r="109">
      <c r="A109" t="s">
        <v>283</v>
      </c>
      <c r="B109" s="2">
        <v>45921.5</v>
      </c>
      <c r="C109" t="s">
        <v>37</v>
      </c>
      <c r="D109" t="s">
        <f>'客户档案'!B3</f>
        <v>38</v>
      </c>
      <c r="E109" t="s">
        <v>51</v>
      </c>
      <c r="F109" t="s">
        <v>52</v>
      </c>
      <c r="G109" t="s">
        <f>'商品目录'!B4</f>
        <v>53</v>
      </c>
      <c r="H109" t="s">
        <v>54</v>
      </c>
      <c r="I109">
        <v>2</v>
      </c>
      <c r="J109" s="4">
        <v>129</v>
      </c>
      <c r="K109" s="4">
        <f>I109*J109</f>
        <v>258</v>
      </c>
      <c r="L109" s="3">
        <v>0.5</v>
      </c>
      <c r="M109" s="4">
        <f>K109*L109</f>
        <v>129</v>
      </c>
      <c r="N109" s="4">
        <v>0</v>
      </c>
      <c r="O109" s="4">
        <f>K109-M109+N109</f>
        <v>129</v>
      </c>
      <c r="P109" t="s">
        <v>43</v>
      </c>
      <c r="Q109" t="b">
        <v>1</v>
      </c>
      <c r="R109" t="s">
        <v>55</v>
      </c>
      <c r="S109" t="s">
        <v>45</v>
      </c>
      <c r="T109" t="s">
        <v>46</v>
      </c>
      <c r="U109" t="s">
        <v>51</v>
      </c>
      <c r="V109" t="s">
        <v>38</v>
      </c>
      <c r="W109" t="s">
        <v>284</v>
      </c>
      <c r="X109" t="s">
        <v>59</v>
      </c>
      <c r="Y109">
        <v>9007199254741098</v>
      </c>
      <c r="Z109">
        <v>0</v>
      </c>
      <c r="AA109" t="s">
        <v>38</v>
      </c>
      <c r="AB109" t="b">
        <v>1</v>
      </c>
      <c r="AD109" s="3">
        <v>0.125</v>
      </c>
      <c r="AE109" s="2">
        <v>45923.5</v>
      </c>
      <c r="AF109" t="s">
        <v>60</v>
      </c>
    </row>
    <row r="110">
      <c r="A110" t="s">
        <v>285</v>
      </c>
      <c r="B110" s="2">
        <v>45922.5</v>
      </c>
      <c r="C110" t="s">
        <v>49</v>
      </c>
      <c r="D110" t="s">
        <f>'客户档案'!B4</f>
        <v>50</v>
      </c>
      <c r="E110" t="s">
        <v>64</v>
      </c>
      <c r="F110" t="s">
        <v>65</v>
      </c>
      <c r="G110" t="s">
        <f>'商品目录'!B5</f>
        <v>66</v>
      </c>
      <c r="H110" t="s">
        <v>67</v>
      </c>
      <c r="I110">
        <v>4</v>
      </c>
      <c r="J110" s="4">
        <v>45</v>
      </c>
      <c r="K110" s="4">
        <f>I110*J110</f>
        <v>180</v>
      </c>
      <c r="L110" s="3">
        <v>0</v>
      </c>
      <c r="M110" s="4">
        <f>K110*L110</f>
        <v>0</v>
      </c>
      <c r="N110" s="4">
        <v>10</v>
      </c>
      <c r="O110" s="4">
        <f>K110-M110+N110</f>
        <v>190</v>
      </c>
      <c r="P110" t="s">
        <v>43</v>
      </c>
      <c r="Q110" t="b">
        <v>1</v>
      </c>
      <c r="R110" t="s">
        <v>55</v>
      </c>
      <c r="S110" t="s">
        <v>56</v>
      </c>
      <c r="T110" t="s">
        <v>57</v>
      </c>
      <c r="U110" t="s">
        <v>70</v>
      </c>
      <c r="V110" t="s">
        <v>50</v>
      </c>
      <c r="W110" t="s">
        <v>286</v>
      </c>
      <c r="X110" t="s">
        <v>72</v>
      </c>
      <c r="Y110">
        <v>9007199254741099</v>
      </c>
      <c r="Z110">
        <v>0</v>
      </c>
      <c r="AA110" t="s">
        <v>50</v>
      </c>
      <c r="AB110" t="b">
        <v>0</v>
      </c>
      <c r="AD110" s="3">
        <v>0.125</v>
      </c>
      <c r="AE110" s="2">
        <v>45924.5</v>
      </c>
      <c r="AF110" t="s">
        <v>60</v>
      </c>
    </row>
    <row r="111">
      <c r="A111" t="s">
        <v>287</v>
      </c>
      <c r="B111" s="2">
        <v>45923.5</v>
      </c>
      <c r="C111" t="s">
        <v>62</v>
      </c>
      <c r="D111" t="s">
        <f>'客户档案'!B5</f>
        <v>63</v>
      </c>
      <c r="E111" t="s">
        <v>74</v>
      </c>
      <c r="F111" t="s">
        <v>75</v>
      </c>
      <c r="G111" t="s">
        <f>'商品目录'!B6</f>
        <v>76</v>
      </c>
      <c r="H111" t="s">
        <v>77</v>
      </c>
      <c r="I111">
        <v>6</v>
      </c>
      <c r="J111" s="4">
        <v>8</v>
      </c>
      <c r="K111" s="4">
        <f>I111*J111</f>
        <v>48</v>
      </c>
      <c r="L111" s="3">
        <v>0.5</v>
      </c>
      <c r="M111" s="4">
        <f>K111*L111</f>
        <v>24</v>
      </c>
      <c r="N111" s="4">
        <v>20</v>
      </c>
      <c r="O111" s="4">
        <f>K111-M111+N111</f>
        <v>44</v>
      </c>
      <c r="P111" t="s">
        <v>43</v>
      </c>
      <c r="Q111" t="b">
        <v>1</v>
      </c>
      <c r="R111" t="s">
        <v>55</v>
      </c>
      <c r="S111" t="s">
        <v>68</v>
      </c>
      <c r="T111" t="s">
        <v>69</v>
      </c>
      <c r="U111" t="s">
        <v>78</v>
      </c>
      <c r="V111" t="s">
        <v>63</v>
      </c>
      <c r="W111" t="s">
        <v>288</v>
      </c>
      <c r="X111" t="s">
        <v>80</v>
      </c>
      <c r="Y111">
        <v>9007199254741100</v>
      </c>
      <c r="Z111">
        <v>0</v>
      </c>
      <c r="AA111" t="s">
        <v>63</v>
      </c>
      <c r="AB111" t="b">
        <v>1</v>
      </c>
      <c r="AD111" s="3">
        <v>0.125</v>
      </c>
      <c r="AE111" s="2">
        <v>45925.5</v>
      </c>
      <c r="AF111" t="s">
        <v>60</v>
      </c>
    </row>
    <row r="112">
      <c r="A112" t="s">
        <v>289</v>
      </c>
      <c r="B112" s="2">
        <v>45924.5</v>
      </c>
      <c r="C112" t="s">
        <v>37</v>
      </c>
      <c r="D112" t="s">
        <f>'客户档案'!B3</f>
        <v>38</v>
      </c>
      <c r="E112" t="s">
        <v>39</v>
      </c>
      <c r="F112" t="s">
        <v>40</v>
      </c>
      <c r="G112" t="s">
        <f>'商品目录'!B3</f>
        <v>41</v>
      </c>
      <c r="H112" t="s">
        <v>42</v>
      </c>
      <c r="I112">
        <v>8</v>
      </c>
      <c r="J112" s="4">
        <v>99</v>
      </c>
      <c r="K112" s="4">
        <f>I112*J112</f>
        <v>792</v>
      </c>
      <c r="L112" s="3">
        <v>0</v>
      </c>
      <c r="M112" s="4">
        <f>K112*L112</f>
        <v>0</v>
      </c>
      <c r="N112" s="4">
        <v>0</v>
      </c>
      <c r="O112" s="4">
        <f>K112-M112+N112</f>
        <v>792</v>
      </c>
      <c r="P112" t="s">
        <v>43</v>
      </c>
      <c r="Q112" t="b">
        <v>0</v>
      </c>
      <c r="R112" t="s">
        <v>44</v>
      </c>
      <c r="S112" t="s">
        <v>45</v>
      </c>
      <c r="T112" t="s">
        <v>46</v>
      </c>
      <c r="U112" t="s">
        <v>39</v>
      </c>
      <c r="V112" t="s">
        <v>38</v>
      </c>
      <c r="W112" t="s">
        <v>290</v>
      </c>
      <c r="X112" t="s">
        <v>0</v>
      </c>
      <c r="Y112">
        <v>9007199254741101</v>
      </c>
      <c r="Z112">
        <v>0</v>
      </c>
      <c r="AA112" t="s">
        <v>38</v>
      </c>
      <c r="AB112" t="b">
        <v>0</v>
      </c>
      <c r="AD112" s="3">
        <v>0.125</v>
      </c>
      <c r="AE112" s="2">
        <v>45926.5</v>
      </c>
      <c r="AF112" t="s">
        <v>60</v>
      </c>
    </row>
    <row r="113">
      <c r="A113" t="s">
        <v>291</v>
      </c>
      <c r="B113" s="2">
        <v>45925.5</v>
      </c>
      <c r="C113" t="s">
        <v>49</v>
      </c>
      <c r="D113" t="s">
        <f>'客户档案'!B4</f>
        <v>50</v>
      </c>
      <c r="E113" t="s">
        <v>51</v>
      </c>
      <c r="F113" t="s">
        <v>52</v>
      </c>
      <c r="G113" t="s">
        <f>'商品目录'!B4</f>
        <v>53</v>
      </c>
      <c r="H113" t="s">
        <v>54</v>
      </c>
      <c r="I113">
        <v>10</v>
      </c>
      <c r="J113" s="4">
        <v>129</v>
      </c>
      <c r="K113" s="4">
        <f>I113*J113</f>
        <v>1290</v>
      </c>
      <c r="L113" s="3">
        <v>0.5</v>
      </c>
      <c r="M113" s="4">
        <f>K113*L113</f>
        <v>645</v>
      </c>
      <c r="N113" s="4">
        <v>10</v>
      </c>
      <c r="O113" s="4">
        <f>K113-M113+N113</f>
        <v>655</v>
      </c>
      <c r="P113" t="s">
        <v>43</v>
      </c>
      <c r="Q113" t="b">
        <v>1</v>
      </c>
      <c r="R113" t="s">
        <v>55</v>
      </c>
      <c r="S113" t="s">
        <v>56</v>
      </c>
      <c r="T113" t="s">
        <v>57</v>
      </c>
      <c r="U113" t="s">
        <v>51</v>
      </c>
      <c r="V113" t="s">
        <v>50</v>
      </c>
      <c r="W113" t="s">
        <v>292</v>
      </c>
      <c r="X113" t="s">
        <v>59</v>
      </c>
      <c r="Y113">
        <v>9007199254741102</v>
      </c>
      <c r="Z113">
        <v>0</v>
      </c>
      <c r="AA113" t="s">
        <v>50</v>
      </c>
      <c r="AB113" t="b">
        <v>1</v>
      </c>
      <c r="AD113" s="3">
        <v>0.125</v>
      </c>
      <c r="AE113" s="2">
        <v>45927.5</v>
      </c>
      <c r="AF113" t="s">
        <v>60</v>
      </c>
    </row>
    <row r="114">
      <c r="A114" t="s">
        <v>293</v>
      </c>
      <c r="B114" s="2">
        <v>45926.5</v>
      </c>
      <c r="C114" t="s">
        <v>62</v>
      </c>
      <c r="D114" t="s">
        <f>'客户档案'!B5</f>
        <v>63</v>
      </c>
      <c r="E114" t="s">
        <v>64</v>
      </c>
      <c r="F114" t="s">
        <v>65</v>
      </c>
      <c r="G114" t="s">
        <f>'商品目录'!B5</f>
        <v>66</v>
      </c>
      <c r="H114" t="s">
        <v>67</v>
      </c>
      <c r="I114">
        <v>2</v>
      </c>
      <c r="J114" s="4">
        <v>45</v>
      </c>
      <c r="K114" s="4">
        <f>I114*J114</f>
        <v>90</v>
      </c>
      <c r="L114" s="3">
        <v>0</v>
      </c>
      <c r="M114" s="4">
        <f>K114*L114</f>
        <v>0</v>
      </c>
      <c r="N114" s="4">
        <v>20</v>
      </c>
      <c r="O114" s="4">
        <f>K114-M114+N114</f>
        <v>110</v>
      </c>
      <c r="P114" t="s">
        <v>43</v>
      </c>
      <c r="Q114" t="b">
        <v>1</v>
      </c>
      <c r="R114" t="s">
        <v>55</v>
      </c>
      <c r="S114" t="s">
        <v>68</v>
      </c>
      <c r="T114" t="s">
        <v>69</v>
      </c>
      <c r="U114" t="s">
        <v>70</v>
      </c>
      <c r="V114" t="s">
        <v>63</v>
      </c>
      <c r="W114" t="s">
        <v>294</v>
      </c>
      <c r="X114" t="s">
        <v>72</v>
      </c>
      <c r="Y114">
        <v>9007199254741103</v>
      </c>
      <c r="Z114">
        <v>0</v>
      </c>
      <c r="AA114" t="s">
        <v>63</v>
      </c>
      <c r="AB114" t="b">
        <v>0</v>
      </c>
      <c r="AD114" s="3">
        <v>0.125</v>
      </c>
      <c r="AE114" s="2">
        <v>45928.5</v>
      </c>
      <c r="AF114" t="s">
        <v>60</v>
      </c>
    </row>
    <row r="115">
      <c r="A115" t="s">
        <v>295</v>
      </c>
      <c r="B115" s="2">
        <v>45927.5</v>
      </c>
      <c r="C115" t="s">
        <v>37</v>
      </c>
      <c r="D115" t="s">
        <f>'客户档案'!B3</f>
        <v>38</v>
      </c>
      <c r="E115" t="s">
        <v>74</v>
      </c>
      <c r="F115" t="s">
        <v>75</v>
      </c>
      <c r="G115" t="s">
        <f>'商品目录'!B6</f>
        <v>76</v>
      </c>
      <c r="H115" t="s">
        <v>77</v>
      </c>
      <c r="I115">
        <v>4</v>
      </c>
      <c r="J115" s="4">
        <v>8</v>
      </c>
      <c r="K115" s="4">
        <f>I115*J115</f>
        <v>32</v>
      </c>
      <c r="L115" s="3">
        <v>0.5</v>
      </c>
      <c r="M115" s="4">
        <f>K115*L115</f>
        <v>16</v>
      </c>
      <c r="N115" s="4">
        <v>0</v>
      </c>
      <c r="O115" s="4">
        <f>K115-M115+N115</f>
        <v>16</v>
      </c>
      <c r="P115" t="s">
        <v>43</v>
      </c>
      <c r="Q115" t="b">
        <v>1</v>
      </c>
      <c r="R115" t="s">
        <v>55</v>
      </c>
      <c r="S115" t="s">
        <v>45</v>
      </c>
      <c r="T115" t="s">
        <v>46</v>
      </c>
      <c r="U115" t="s">
        <v>78</v>
      </c>
      <c r="V115" t="s">
        <v>38</v>
      </c>
      <c r="W115" t="s">
        <v>296</v>
      </c>
      <c r="X115" t="s">
        <v>80</v>
      </c>
      <c r="Y115">
        <v>9007199254741104</v>
      </c>
      <c r="Z115">
        <v>0</v>
      </c>
      <c r="AA115" t="s">
        <v>38</v>
      </c>
      <c r="AB115" t="b">
        <v>1</v>
      </c>
      <c r="AD115" s="3">
        <v>0.125</v>
      </c>
      <c r="AE115" s="2">
        <v>45929.5</v>
      </c>
      <c r="AF115" t="s">
        <v>60</v>
      </c>
    </row>
    <row r="116">
      <c r="A116" t="s">
        <v>297</v>
      </c>
      <c r="B116" s="2">
        <v>45900.5</v>
      </c>
      <c r="C116" t="s">
        <v>49</v>
      </c>
      <c r="D116" t="s">
        <f>'客户档案'!B4</f>
        <v>50</v>
      </c>
      <c r="E116" t="s">
        <v>39</v>
      </c>
      <c r="F116" t="s">
        <v>40</v>
      </c>
      <c r="G116" t="s">
        <f>'商品目录'!B3</f>
        <v>41</v>
      </c>
      <c r="H116" t="s">
        <v>42</v>
      </c>
      <c r="I116">
        <v>6</v>
      </c>
      <c r="J116" s="4">
        <v>99</v>
      </c>
      <c r="K116" s="4">
        <f>I116*J116</f>
        <v>594</v>
      </c>
      <c r="L116" s="3">
        <v>0</v>
      </c>
      <c r="M116" s="4">
        <f>K116*L116</f>
        <v>0</v>
      </c>
      <c r="N116" s="4">
        <v>10</v>
      </c>
      <c r="O116" s="4">
        <f>K116-M116+N116</f>
        <v>604</v>
      </c>
      <c r="P116" t="s">
        <v>43</v>
      </c>
      <c r="Q116" t="b">
        <v>0</v>
      </c>
      <c r="R116" t="s">
        <v>44</v>
      </c>
      <c r="S116" t="s">
        <v>56</v>
      </c>
      <c r="T116" t="s">
        <v>57</v>
      </c>
      <c r="U116" t="s">
        <v>39</v>
      </c>
      <c r="V116" t="s">
        <v>50</v>
      </c>
      <c r="W116" t="s">
        <v>298</v>
      </c>
      <c r="X116" t="s">
        <v>0</v>
      </c>
      <c r="Y116">
        <v>9007199254741105</v>
      </c>
      <c r="Z116">
        <v>0</v>
      </c>
      <c r="AA116" t="s">
        <v>50</v>
      </c>
      <c r="AB116" t="b">
        <v>0</v>
      </c>
      <c r="AD116" s="3">
        <v>0.125</v>
      </c>
      <c r="AE116" s="2">
        <v>45902.5</v>
      </c>
      <c r="AF116" t="s">
        <v>60</v>
      </c>
    </row>
    <row r="117">
      <c r="A117" t="s">
        <v>299</v>
      </c>
      <c r="B117" s="2">
        <v>45901.5</v>
      </c>
      <c r="C117" t="s">
        <v>62</v>
      </c>
      <c r="D117" t="s">
        <f>'客户档案'!B5</f>
        <v>63</v>
      </c>
      <c r="E117" t="s">
        <v>51</v>
      </c>
      <c r="F117" t="s">
        <v>52</v>
      </c>
      <c r="G117" t="s">
        <f>'商品目录'!B4</f>
        <v>53</v>
      </c>
      <c r="H117" t="s">
        <v>54</v>
      </c>
      <c r="I117">
        <v>8</v>
      </c>
      <c r="J117" s="4">
        <v>129</v>
      </c>
      <c r="K117" s="4">
        <f>I117*J117</f>
        <v>1032</v>
      </c>
      <c r="L117" s="3">
        <v>0.5</v>
      </c>
      <c r="M117" s="4">
        <f>K117*L117</f>
        <v>516</v>
      </c>
      <c r="N117" s="4">
        <v>20</v>
      </c>
      <c r="O117" s="4">
        <f>K117-M117+N117</f>
        <v>536</v>
      </c>
      <c r="P117" t="s">
        <v>43</v>
      </c>
      <c r="Q117" t="b">
        <v>1</v>
      </c>
      <c r="R117" t="s">
        <v>55</v>
      </c>
      <c r="S117" t="s">
        <v>68</v>
      </c>
      <c r="T117" t="s">
        <v>69</v>
      </c>
      <c r="U117" t="s">
        <v>51</v>
      </c>
      <c r="V117" t="s">
        <v>63</v>
      </c>
      <c r="W117" t="s">
        <v>300</v>
      </c>
      <c r="X117" t="s">
        <v>59</v>
      </c>
      <c r="Y117">
        <v>9007199254741106</v>
      </c>
      <c r="Z117">
        <v>0</v>
      </c>
      <c r="AA117" t="s">
        <v>63</v>
      </c>
      <c r="AB117" t="b">
        <v>1</v>
      </c>
      <c r="AD117" s="3">
        <v>0.125</v>
      </c>
      <c r="AE117" s="2">
        <v>45903.5</v>
      </c>
      <c r="AF117" t="s">
        <v>60</v>
      </c>
    </row>
    <row r="118">
      <c r="A118" t="s">
        <v>301</v>
      </c>
      <c r="B118" s="2">
        <v>45902.5</v>
      </c>
      <c r="C118" t="s">
        <v>37</v>
      </c>
      <c r="D118" t="s">
        <f>'客户档案'!B3</f>
        <v>38</v>
      </c>
      <c r="E118" t="s">
        <v>64</v>
      </c>
      <c r="F118" t="s">
        <v>65</v>
      </c>
      <c r="G118" t="s">
        <f>'商品目录'!B5</f>
        <v>66</v>
      </c>
      <c r="H118" t="s">
        <v>67</v>
      </c>
      <c r="I118">
        <v>10</v>
      </c>
      <c r="J118" s="4">
        <v>45</v>
      </c>
      <c r="K118" s="4">
        <f>I118*J118</f>
        <v>450</v>
      </c>
      <c r="L118" s="3">
        <v>0</v>
      </c>
      <c r="M118" s="4">
        <f>K118*L118</f>
        <v>0</v>
      </c>
      <c r="N118" s="4">
        <v>0</v>
      </c>
      <c r="O118" s="4">
        <f>K118-M118+N118</f>
        <v>450</v>
      </c>
      <c r="P118" t="s">
        <v>43</v>
      </c>
      <c r="Q118" t="b">
        <v>1</v>
      </c>
      <c r="R118" t="s">
        <v>55</v>
      </c>
      <c r="S118" t="s">
        <v>45</v>
      </c>
      <c r="T118" t="s">
        <v>46</v>
      </c>
      <c r="U118" t="s">
        <v>70</v>
      </c>
      <c r="V118" t="s">
        <v>38</v>
      </c>
      <c r="W118" t="s">
        <v>302</v>
      </c>
      <c r="X118" t="s">
        <v>72</v>
      </c>
      <c r="Y118">
        <v>9007199254741107</v>
      </c>
      <c r="Z118">
        <v>0</v>
      </c>
      <c r="AA118" t="s">
        <v>38</v>
      </c>
      <c r="AB118" t="b">
        <v>0</v>
      </c>
      <c r="AD118" s="3">
        <v>0.125</v>
      </c>
      <c r="AE118" s="2">
        <v>45904.5</v>
      </c>
      <c r="AF118" t="s">
        <v>60</v>
      </c>
    </row>
    <row r="119">
      <c r="A119" t="s">
        <v>303</v>
      </c>
      <c r="B119" s="2">
        <v>45903.5</v>
      </c>
      <c r="C119" t="s">
        <v>49</v>
      </c>
      <c r="D119" t="s">
        <f>'客户档案'!B4</f>
        <v>50</v>
      </c>
      <c r="E119" t="s">
        <v>74</v>
      </c>
      <c r="F119" t="s">
        <v>75</v>
      </c>
      <c r="G119" t="s">
        <f>'商品目录'!B6</f>
        <v>76</v>
      </c>
      <c r="H119" t="s">
        <v>77</v>
      </c>
      <c r="I119">
        <v>2</v>
      </c>
      <c r="J119" s="4">
        <v>8</v>
      </c>
      <c r="K119" s="4">
        <f>I119*J119</f>
        <v>16</v>
      </c>
      <c r="L119" s="3">
        <v>0.5</v>
      </c>
      <c r="M119" s="4">
        <f>K119*L119</f>
        <v>8</v>
      </c>
      <c r="N119" s="4">
        <v>10</v>
      </c>
      <c r="O119" s="4">
        <f>K119-M119+N119</f>
        <v>18</v>
      </c>
      <c r="P119" t="s">
        <v>43</v>
      </c>
      <c r="Q119" t="b">
        <v>1</v>
      </c>
      <c r="R119" t="s">
        <v>55</v>
      </c>
      <c r="S119" t="s">
        <v>56</v>
      </c>
      <c r="T119" t="s">
        <v>57</v>
      </c>
      <c r="U119" t="s">
        <v>78</v>
      </c>
      <c r="V119" t="s">
        <v>50</v>
      </c>
      <c r="W119" t="s">
        <v>304</v>
      </c>
      <c r="X119" t="s">
        <v>80</v>
      </c>
      <c r="Y119">
        <v>9007199254741108</v>
      </c>
      <c r="Z119">
        <v>0</v>
      </c>
      <c r="AA119" t="s">
        <v>50</v>
      </c>
      <c r="AB119" t="b">
        <v>1</v>
      </c>
      <c r="AD119" s="3">
        <v>0.125</v>
      </c>
      <c r="AE119" s="2">
        <v>45905.5</v>
      </c>
      <c r="AF119" t="s">
        <v>60</v>
      </c>
    </row>
    <row r="120">
      <c r="A120" t="s">
        <v>305</v>
      </c>
      <c r="B120" s="2">
        <v>45904.5</v>
      </c>
      <c r="C120" t="s">
        <v>62</v>
      </c>
      <c r="D120" t="s">
        <f>'客户档案'!B5</f>
        <v>63</v>
      </c>
      <c r="E120" t="s">
        <v>39</v>
      </c>
      <c r="F120" t="s">
        <v>40</v>
      </c>
      <c r="G120" t="s">
        <f>'商品目录'!B3</f>
        <v>41</v>
      </c>
      <c r="H120" t="s">
        <v>42</v>
      </c>
      <c r="I120">
        <v>4</v>
      </c>
      <c r="J120" s="4">
        <v>99</v>
      </c>
      <c r="K120" s="4">
        <f>I120*J120</f>
        <v>396</v>
      </c>
      <c r="L120" s="3">
        <v>0</v>
      </c>
      <c r="M120" s="4">
        <f>K120*L120</f>
        <v>0</v>
      </c>
      <c r="N120" s="4">
        <v>20</v>
      </c>
      <c r="O120" s="4">
        <f>K120-M120+N120</f>
        <v>416</v>
      </c>
      <c r="P120" t="s">
        <v>43</v>
      </c>
      <c r="Q120" t="b">
        <v>0</v>
      </c>
      <c r="R120" t="s">
        <v>44</v>
      </c>
      <c r="S120" t="s">
        <v>68</v>
      </c>
      <c r="T120" t="s">
        <v>69</v>
      </c>
      <c r="U120" t="s">
        <v>39</v>
      </c>
      <c r="V120" t="s">
        <v>63</v>
      </c>
      <c r="W120" t="s">
        <v>306</v>
      </c>
      <c r="X120" t="s">
        <v>0</v>
      </c>
      <c r="Y120">
        <v>9007199254741109</v>
      </c>
      <c r="Z120">
        <v>0</v>
      </c>
      <c r="AA120" t="s">
        <v>63</v>
      </c>
      <c r="AB120" t="b">
        <v>0</v>
      </c>
      <c r="AD120" s="3">
        <v>0.125</v>
      </c>
      <c r="AE120" s="2">
        <v>45906.5</v>
      </c>
      <c r="AF120" t="s">
        <v>60</v>
      </c>
    </row>
    <row r="121">
      <c r="A121" t="s">
        <v>307</v>
      </c>
      <c r="B121" s="2">
        <v>45905.5</v>
      </c>
      <c r="C121" t="s">
        <v>37</v>
      </c>
      <c r="D121" t="s">
        <f>'客户档案'!B3</f>
        <v>38</v>
      </c>
      <c r="E121" t="s">
        <v>51</v>
      </c>
      <c r="F121" t="s">
        <v>52</v>
      </c>
      <c r="G121" t="s">
        <f>'商品目录'!B4</f>
        <v>53</v>
      </c>
      <c r="H121" t="s">
        <v>54</v>
      </c>
      <c r="I121">
        <v>6</v>
      </c>
      <c r="J121" s="4">
        <v>129</v>
      </c>
      <c r="K121" s="4">
        <f>I121*J121</f>
        <v>774</v>
      </c>
      <c r="L121" s="3">
        <v>0.5</v>
      </c>
      <c r="M121" s="4">
        <f>K121*L121</f>
        <v>387</v>
      </c>
      <c r="N121" s="4">
        <v>0</v>
      </c>
      <c r="O121" s="4">
        <f>K121-M121+N121</f>
        <v>387</v>
      </c>
      <c r="P121" t="s">
        <v>43</v>
      </c>
      <c r="Q121" t="b">
        <v>1</v>
      </c>
      <c r="R121" t="s">
        <v>55</v>
      </c>
      <c r="S121" t="s">
        <v>45</v>
      </c>
      <c r="T121" t="s">
        <v>46</v>
      </c>
      <c r="U121" t="s">
        <v>51</v>
      </c>
      <c r="V121" t="s">
        <v>38</v>
      </c>
      <c r="W121" t="s">
        <v>308</v>
      </c>
      <c r="X121" t="s">
        <v>59</v>
      </c>
      <c r="Y121">
        <v>9007199254741110</v>
      </c>
      <c r="Z121">
        <v>0</v>
      </c>
      <c r="AA121" t="s">
        <v>38</v>
      </c>
      <c r="AB121" t="b">
        <v>1</v>
      </c>
      <c r="AD121" s="3">
        <v>0.125</v>
      </c>
      <c r="AE121" s="2">
        <v>45907.5</v>
      </c>
      <c r="AF121" t="s">
        <v>60</v>
      </c>
    </row>
    <row r="122">
      <c r="A122" t="s">
        <v>309</v>
      </c>
      <c r="B122" s="2">
        <v>45906.5</v>
      </c>
      <c r="C122" t="s">
        <v>49</v>
      </c>
      <c r="D122" t="s">
        <f>'客户档案'!B4</f>
        <v>50</v>
      </c>
      <c r="E122" t="s">
        <v>64</v>
      </c>
      <c r="F122" t="s">
        <v>65</v>
      </c>
      <c r="G122" t="s">
        <f>'商品目录'!B5</f>
        <v>66</v>
      </c>
      <c r="H122" t="s">
        <v>67</v>
      </c>
      <c r="I122">
        <v>8</v>
      </c>
      <c r="J122" s="4">
        <v>45</v>
      </c>
      <c r="K122" s="4">
        <f>I122*J122</f>
        <v>360</v>
      </c>
      <c r="L122" s="3">
        <v>0</v>
      </c>
      <c r="M122" s="4">
        <f>K122*L122</f>
        <v>0</v>
      </c>
      <c r="N122" s="4">
        <v>10</v>
      </c>
      <c r="O122" s="4">
        <f>K122-M122+N122</f>
        <v>370</v>
      </c>
      <c r="P122" t="s">
        <v>43</v>
      </c>
      <c r="Q122" t="b">
        <v>1</v>
      </c>
      <c r="R122" t="s">
        <v>55</v>
      </c>
      <c r="S122" t="s">
        <v>56</v>
      </c>
      <c r="T122" t="s">
        <v>57</v>
      </c>
      <c r="U122" t="s">
        <v>70</v>
      </c>
      <c r="V122" t="s">
        <v>50</v>
      </c>
      <c r="W122" t="s">
        <v>310</v>
      </c>
      <c r="X122" t="s">
        <v>72</v>
      </c>
      <c r="Y122">
        <v>9007199254741111</v>
      </c>
      <c r="Z122">
        <v>0</v>
      </c>
      <c r="AA122" t="s">
        <v>50</v>
      </c>
      <c r="AB122" t="b">
        <v>0</v>
      </c>
      <c r="AD122" s="3">
        <v>0.125</v>
      </c>
      <c r="AE122" s="2">
        <v>45908.5</v>
      </c>
      <c r="AF122" t="s">
        <v>60</v>
      </c>
    </row>
    <row r="123">
      <c r="A123" t="s">
        <v>311</v>
      </c>
      <c r="B123" s="2">
        <v>45907.5</v>
      </c>
      <c r="C123" t="s">
        <v>62</v>
      </c>
      <c r="D123" t="s">
        <f>'客户档案'!B5</f>
        <v>63</v>
      </c>
      <c r="E123" t="s">
        <v>74</v>
      </c>
      <c r="F123" t="s">
        <v>75</v>
      </c>
      <c r="G123" t="s">
        <f>'商品目录'!B6</f>
        <v>76</v>
      </c>
      <c r="H123" t="s">
        <v>77</v>
      </c>
      <c r="I123">
        <v>10</v>
      </c>
      <c r="J123" s="4">
        <v>8</v>
      </c>
      <c r="K123" s="4">
        <f>I123*J123</f>
        <v>80</v>
      </c>
      <c r="L123" s="3">
        <v>0.5</v>
      </c>
      <c r="M123" s="4">
        <f>K123*L123</f>
        <v>40</v>
      </c>
      <c r="N123" s="4">
        <v>20</v>
      </c>
      <c r="O123" s="4">
        <f>K123-M123+N123</f>
        <v>60</v>
      </c>
      <c r="P123" t="s">
        <v>43</v>
      </c>
      <c r="Q123" t="b">
        <v>1</v>
      </c>
      <c r="R123" t="s">
        <v>55</v>
      </c>
      <c r="S123" t="s">
        <v>68</v>
      </c>
      <c r="T123" t="s">
        <v>69</v>
      </c>
      <c r="U123" t="s">
        <v>78</v>
      </c>
      <c r="V123" t="s">
        <v>63</v>
      </c>
      <c r="W123" t="s">
        <v>312</v>
      </c>
      <c r="X123" t="s">
        <v>80</v>
      </c>
      <c r="Y123">
        <v>9007199254741112</v>
      </c>
      <c r="Z123">
        <v>2</v>
      </c>
      <c r="AA123" t="s">
        <v>63</v>
      </c>
      <c r="AB123" t="b">
        <v>1</v>
      </c>
      <c r="AD123" s="3">
        <v>0.125</v>
      </c>
      <c r="AE123" s="2">
        <v>45909.5</v>
      </c>
      <c r="AF123" t="s">
        <v>60</v>
      </c>
    </row>
    <row r="124">
      <c r="A124" t="s">
        <v>313</v>
      </c>
      <c r="B124" s="2">
        <v>45908.5</v>
      </c>
      <c r="C124" t="s">
        <v>37</v>
      </c>
      <c r="D124" t="s">
        <f>'客户档案'!B3</f>
        <v>38</v>
      </c>
      <c r="E124" t="s">
        <v>39</v>
      </c>
      <c r="F124" t="s">
        <v>40</v>
      </c>
      <c r="G124" t="s">
        <f>'商品目录'!B3</f>
        <v>41</v>
      </c>
      <c r="H124" t="s">
        <v>42</v>
      </c>
      <c r="I124">
        <v>2</v>
      </c>
      <c r="J124" s="4">
        <v>99</v>
      </c>
      <c r="K124" s="4">
        <f>I124*J124</f>
        <v>198</v>
      </c>
      <c r="L124" s="3">
        <v>0</v>
      </c>
      <c r="M124" s="4">
        <f>K124*L124</f>
        <v>0</v>
      </c>
      <c r="N124" s="4">
        <v>0</v>
      </c>
      <c r="O124" s="4">
        <f>K124-M124+N124</f>
        <v>198</v>
      </c>
      <c r="P124" t="s">
        <v>43</v>
      </c>
      <c r="Q124" t="b">
        <v>0</v>
      </c>
      <c r="R124" t="s">
        <v>44</v>
      </c>
      <c r="S124" t="s">
        <v>45</v>
      </c>
      <c r="T124" t="s">
        <v>46</v>
      </c>
      <c r="U124" t="s">
        <v>39</v>
      </c>
      <c r="V124" t="s">
        <v>38</v>
      </c>
      <c r="W124" t="s">
        <v>314</v>
      </c>
      <c r="X124" t="s">
        <v>0</v>
      </c>
      <c r="Y124">
        <v>9007199254741113</v>
      </c>
      <c r="Z124">
        <v>0</v>
      </c>
      <c r="AA124" t="s">
        <v>38</v>
      </c>
      <c r="AB124" t="b">
        <v>0</v>
      </c>
      <c r="AD124" s="3">
        <v>0.125</v>
      </c>
      <c r="AE124" s="2">
        <v>45910.5</v>
      </c>
      <c r="AF124" t="s">
        <v>60</v>
      </c>
    </row>
    <row r="125">
      <c r="A125" t="s">
        <v>315</v>
      </c>
      <c r="B125" s="2">
        <v>45909.5</v>
      </c>
      <c r="C125" t="s">
        <v>49</v>
      </c>
      <c r="D125" t="s">
        <f>'客户档案'!B4</f>
        <v>50</v>
      </c>
      <c r="E125" t="s">
        <v>51</v>
      </c>
      <c r="F125" t="s">
        <v>52</v>
      </c>
      <c r="G125" t="s">
        <f>'商品目录'!B4</f>
        <v>53</v>
      </c>
      <c r="H125" t="s">
        <v>54</v>
      </c>
      <c r="I125">
        <v>4</v>
      </c>
      <c r="J125" s="4">
        <v>129</v>
      </c>
      <c r="K125" s="4">
        <f>I125*J125</f>
        <v>516</v>
      </c>
      <c r="L125" s="3">
        <v>0.5</v>
      </c>
      <c r="M125" s="4">
        <f>K125*L125</f>
        <v>258</v>
      </c>
      <c r="N125" s="4">
        <v>10</v>
      </c>
      <c r="O125" s="4">
        <f>K125-M125+N125</f>
        <v>268</v>
      </c>
      <c r="P125" t="s">
        <v>43</v>
      </c>
      <c r="Q125" t="b">
        <v>1</v>
      </c>
      <c r="R125" t="s">
        <v>55</v>
      </c>
      <c r="S125" t="s">
        <v>56</v>
      </c>
      <c r="T125" t="s">
        <v>57</v>
      </c>
      <c r="U125" t="s">
        <v>51</v>
      </c>
      <c r="V125" t="s">
        <v>50</v>
      </c>
      <c r="W125" t="s">
        <v>316</v>
      </c>
      <c r="X125" t="s">
        <v>59</v>
      </c>
      <c r="Y125">
        <v>9007199254741114</v>
      </c>
      <c r="Z125">
        <v>0</v>
      </c>
      <c r="AA125" t="s">
        <v>50</v>
      </c>
      <c r="AB125" t="b">
        <v>1</v>
      </c>
      <c r="AD125" s="3">
        <v>0.125</v>
      </c>
      <c r="AE125" s="2">
        <v>45911.5</v>
      </c>
      <c r="AF125" t="s">
        <v>60</v>
      </c>
    </row>
    <row r="126">
      <c r="A126" t="s">
        <v>317</v>
      </c>
      <c r="B126" s="2">
        <v>45910.5</v>
      </c>
      <c r="C126" t="s">
        <v>62</v>
      </c>
      <c r="D126" t="s">
        <f>'客户档案'!B5</f>
        <v>63</v>
      </c>
      <c r="E126" t="s">
        <v>64</v>
      </c>
      <c r="F126" t="s">
        <v>65</v>
      </c>
      <c r="G126" t="s">
        <f>'商品目录'!B5</f>
        <v>66</v>
      </c>
      <c r="H126" t="s">
        <v>67</v>
      </c>
      <c r="I126">
        <v>6</v>
      </c>
      <c r="J126" s="4">
        <v>45</v>
      </c>
      <c r="K126" s="4">
        <f>I126*J126</f>
        <v>270</v>
      </c>
      <c r="L126" s="3">
        <v>0</v>
      </c>
      <c r="M126" s="4">
        <f>K126*L126</f>
        <v>0</v>
      </c>
      <c r="N126" s="4">
        <v>20</v>
      </c>
      <c r="O126" s="4">
        <f>K126-M126+N126</f>
        <v>290</v>
      </c>
      <c r="P126" t="s">
        <v>43</v>
      </c>
      <c r="Q126" t="b">
        <v>1</v>
      </c>
      <c r="R126" t="s">
        <v>55</v>
      </c>
      <c r="S126" t="s">
        <v>68</v>
      </c>
      <c r="T126" t="s">
        <v>69</v>
      </c>
      <c r="U126" t="s">
        <v>70</v>
      </c>
      <c r="V126" t="s">
        <v>63</v>
      </c>
      <c r="W126" t="s">
        <v>318</v>
      </c>
      <c r="X126" t="s">
        <v>72</v>
      </c>
      <c r="Y126">
        <v>9007199254741115</v>
      </c>
      <c r="Z126">
        <v>0</v>
      </c>
      <c r="AA126" t="s">
        <v>63</v>
      </c>
      <c r="AB126" t="b">
        <v>0</v>
      </c>
      <c r="AD126" s="3">
        <v>0.125</v>
      </c>
      <c r="AE126" s="2">
        <v>45912.5</v>
      </c>
      <c r="AF126" t="s">
        <v>60</v>
      </c>
    </row>
    <row r="127">
      <c r="A127" t="s">
        <v>319</v>
      </c>
      <c r="B127" s="2">
        <v>45911.5</v>
      </c>
      <c r="C127" t="s">
        <v>37</v>
      </c>
      <c r="D127" t="s">
        <f>'客户档案'!B3</f>
        <v>38</v>
      </c>
      <c r="E127" t="s">
        <v>74</v>
      </c>
      <c r="F127" t="s">
        <v>75</v>
      </c>
      <c r="G127" t="s">
        <f>'商品目录'!B6</f>
        <v>76</v>
      </c>
      <c r="H127" t="s">
        <v>77</v>
      </c>
      <c r="I127">
        <v>8</v>
      </c>
      <c r="J127" s="4">
        <v>8</v>
      </c>
      <c r="K127" s="4">
        <f>I127*J127</f>
        <v>64</v>
      </c>
      <c r="L127" s="3">
        <v>0.5</v>
      </c>
      <c r="M127" s="4">
        <f>K127*L127</f>
        <v>32</v>
      </c>
      <c r="N127" s="4">
        <v>0</v>
      </c>
      <c r="O127" s="4">
        <f>K127-M127+N127</f>
        <v>32</v>
      </c>
      <c r="P127" t="s">
        <v>43</v>
      </c>
      <c r="Q127" t="b">
        <v>1</v>
      </c>
      <c r="R127" t="s">
        <v>55</v>
      </c>
      <c r="S127" t="s">
        <v>45</v>
      </c>
      <c r="T127" t="s">
        <v>46</v>
      </c>
      <c r="U127" t="s">
        <v>78</v>
      </c>
      <c r="V127" t="s">
        <v>38</v>
      </c>
      <c r="W127" t="s">
        <v>320</v>
      </c>
      <c r="X127" t="s">
        <v>80</v>
      </c>
      <c r="Y127">
        <v>9007199254741116</v>
      </c>
      <c r="Z127">
        <v>0</v>
      </c>
      <c r="AA127" t="s">
        <v>38</v>
      </c>
      <c r="AB127" t="b">
        <v>1</v>
      </c>
      <c r="AD127" s="3">
        <v>0.125</v>
      </c>
      <c r="AE127" s="2">
        <v>45913.5</v>
      </c>
      <c r="AF127" t="s">
        <v>60</v>
      </c>
    </row>
    <row r="128">
      <c r="A128" t="s">
        <v>321</v>
      </c>
      <c r="B128" s="2">
        <v>45912.5</v>
      </c>
      <c r="C128" t="s">
        <v>49</v>
      </c>
      <c r="D128" t="s">
        <f>'客户档案'!B4</f>
        <v>50</v>
      </c>
      <c r="E128" t="s">
        <v>39</v>
      </c>
      <c r="F128" t="s">
        <v>40</v>
      </c>
      <c r="G128" t="s">
        <f>'商品目录'!B3</f>
        <v>41</v>
      </c>
      <c r="H128" t="s">
        <v>42</v>
      </c>
      <c r="I128">
        <v>10</v>
      </c>
      <c r="J128" s="4">
        <v>99</v>
      </c>
      <c r="K128" s="4">
        <f>I128*J128</f>
        <v>990</v>
      </c>
      <c r="L128" s="3">
        <v>0</v>
      </c>
      <c r="M128" s="4">
        <f>K128*L128</f>
        <v>0</v>
      </c>
      <c r="N128" s="4">
        <v>10</v>
      </c>
      <c r="O128" s="4">
        <f>K128-M128+N128</f>
        <v>1000</v>
      </c>
      <c r="P128" t="s">
        <v>43</v>
      </c>
      <c r="Q128" t="b">
        <v>0</v>
      </c>
      <c r="R128" t="s">
        <v>44</v>
      </c>
      <c r="S128" t="s">
        <v>56</v>
      </c>
      <c r="T128" t="s">
        <v>57</v>
      </c>
      <c r="U128" t="s">
        <v>39</v>
      </c>
      <c r="V128" t="s">
        <v>50</v>
      </c>
      <c r="W128" t="s">
        <v>322</v>
      </c>
      <c r="X128" t="s">
        <v>0</v>
      </c>
      <c r="Y128">
        <v>9007199254741117</v>
      </c>
      <c r="Z128">
        <v>0</v>
      </c>
      <c r="AA128" t="s">
        <v>50</v>
      </c>
      <c r="AB128" t="b">
        <v>0</v>
      </c>
      <c r="AD128" s="3">
        <v>0.125</v>
      </c>
      <c r="AE128" s="2">
        <v>45914.5</v>
      </c>
      <c r="AF128" t="s">
        <v>60</v>
      </c>
    </row>
    <row r="129">
      <c r="A129" t="s">
        <v>323</v>
      </c>
      <c r="B129" s="2">
        <v>45913.5</v>
      </c>
      <c r="C129" t="s">
        <v>62</v>
      </c>
      <c r="D129" t="s">
        <f>'客户档案'!B5</f>
        <v>63</v>
      </c>
      <c r="E129" t="s">
        <v>51</v>
      </c>
      <c r="F129" t="s">
        <v>52</v>
      </c>
      <c r="G129" t="s">
        <f>'商品目录'!B4</f>
        <v>53</v>
      </c>
      <c r="H129" t="s">
        <v>54</v>
      </c>
      <c r="I129">
        <v>2</v>
      </c>
      <c r="J129" s="4">
        <v>129</v>
      </c>
      <c r="K129" s="4">
        <f>I129*J129</f>
        <v>258</v>
      </c>
      <c r="L129" s="3">
        <v>0.5</v>
      </c>
      <c r="M129" s="4">
        <f>K129*L129</f>
        <v>129</v>
      </c>
      <c r="N129" s="4">
        <v>20</v>
      </c>
      <c r="O129" s="4">
        <f>K129-M129+N129</f>
        <v>149</v>
      </c>
      <c r="P129" t="s">
        <v>43</v>
      </c>
      <c r="Q129" t="b">
        <v>1</v>
      </c>
      <c r="R129" t="s">
        <v>55</v>
      </c>
      <c r="S129" t="s">
        <v>68</v>
      </c>
      <c r="T129" t="s">
        <v>69</v>
      </c>
      <c r="U129" t="s">
        <v>51</v>
      </c>
      <c r="V129" t="s">
        <v>63</v>
      </c>
      <c r="W129" t="s">
        <v>324</v>
      </c>
      <c r="X129" t="s">
        <v>59</v>
      </c>
      <c r="Y129">
        <v>9007199254741118</v>
      </c>
      <c r="Z129">
        <v>0</v>
      </c>
      <c r="AA129" t="s">
        <v>63</v>
      </c>
      <c r="AB129" t="b">
        <v>1</v>
      </c>
      <c r="AD129" s="3">
        <v>0.125</v>
      </c>
      <c r="AE129" s="2">
        <v>45915.5</v>
      </c>
      <c r="AF129" t="s">
        <v>60</v>
      </c>
    </row>
    <row r="130">
      <c r="A130" t="s">
        <v>325</v>
      </c>
      <c r="B130" s="2">
        <v>45914.5</v>
      </c>
      <c r="C130" t="s">
        <v>37</v>
      </c>
      <c r="D130" t="s">
        <f>'客户档案'!B3</f>
        <v>38</v>
      </c>
      <c r="E130" t="s">
        <v>64</v>
      </c>
      <c r="F130" t="s">
        <v>65</v>
      </c>
      <c r="G130" t="s">
        <f>'商品目录'!B5</f>
        <v>66</v>
      </c>
      <c r="H130" t="s">
        <v>67</v>
      </c>
      <c r="I130">
        <v>4</v>
      </c>
      <c r="J130" s="4">
        <v>45</v>
      </c>
      <c r="K130" s="4">
        <f>I130*J130</f>
        <v>180</v>
      </c>
      <c r="L130" s="3">
        <v>0</v>
      </c>
      <c r="M130" s="4">
        <f>K130*L130</f>
        <v>0</v>
      </c>
      <c r="N130" s="4">
        <v>0</v>
      </c>
      <c r="O130" s="4">
        <f>K130-M130+N130</f>
        <v>180</v>
      </c>
      <c r="P130" t="s">
        <v>43</v>
      </c>
      <c r="Q130" t="b">
        <v>1</v>
      </c>
      <c r="R130" t="s">
        <v>55</v>
      </c>
      <c r="S130" t="s">
        <v>45</v>
      </c>
      <c r="T130" t="s">
        <v>46</v>
      </c>
      <c r="U130" t="s">
        <v>70</v>
      </c>
      <c r="V130" t="s">
        <v>38</v>
      </c>
      <c r="W130" t="s">
        <v>326</v>
      </c>
      <c r="X130" t="s">
        <v>72</v>
      </c>
      <c r="Y130">
        <v>9007199254741119</v>
      </c>
      <c r="Z130">
        <v>0</v>
      </c>
      <c r="AA130" t="s">
        <v>38</v>
      </c>
      <c r="AB130" t="b">
        <v>0</v>
      </c>
      <c r="AD130" s="3">
        <v>0.125</v>
      </c>
      <c r="AE130" s="2">
        <v>45916.5</v>
      </c>
      <c r="AF130" t="s">
        <v>60</v>
      </c>
    </row>
    <row r="131">
      <c r="A131" t="s">
        <v>327</v>
      </c>
      <c r="B131" s="2">
        <v>45915.5</v>
      </c>
      <c r="C131" t="s">
        <v>49</v>
      </c>
      <c r="D131" t="s">
        <f>'客户档案'!B4</f>
        <v>50</v>
      </c>
      <c r="E131" t="s">
        <v>74</v>
      </c>
      <c r="F131" t="s">
        <v>75</v>
      </c>
      <c r="G131" t="s">
        <f>'商品目录'!B6</f>
        <v>76</v>
      </c>
      <c r="H131" t="s">
        <v>77</v>
      </c>
      <c r="I131">
        <v>6</v>
      </c>
      <c r="J131" s="4">
        <v>8</v>
      </c>
      <c r="K131" s="4">
        <f>I131*J131</f>
        <v>48</v>
      </c>
      <c r="L131" s="3">
        <v>0.5</v>
      </c>
      <c r="M131" s="4">
        <f>K131*L131</f>
        <v>24</v>
      </c>
      <c r="N131" s="4">
        <v>10</v>
      </c>
      <c r="O131" s="4">
        <f>K131-M131+N131</f>
        <v>34</v>
      </c>
      <c r="P131" t="s">
        <v>43</v>
      </c>
      <c r="Q131" t="b">
        <v>1</v>
      </c>
      <c r="R131" t="s">
        <v>55</v>
      </c>
      <c r="S131" t="s">
        <v>56</v>
      </c>
      <c r="T131" t="s">
        <v>57</v>
      </c>
      <c r="U131" t="s">
        <v>78</v>
      </c>
      <c r="V131" t="s">
        <v>50</v>
      </c>
      <c r="W131" t="s">
        <v>328</v>
      </c>
      <c r="X131" t="s">
        <v>80</v>
      </c>
      <c r="Y131">
        <v>9007199254741120</v>
      </c>
      <c r="Z131">
        <v>0</v>
      </c>
      <c r="AA131" t="s">
        <v>50</v>
      </c>
      <c r="AB131" t="b">
        <v>1</v>
      </c>
      <c r="AD131" s="3">
        <v>0.125</v>
      </c>
      <c r="AE131" s="2">
        <v>45917.5</v>
      </c>
      <c r="AF131" t="s">
        <v>60</v>
      </c>
    </row>
    <row r="132">
      <c r="A132" t="s">
        <v>329</v>
      </c>
      <c r="B132" s="2">
        <v>45916.5</v>
      </c>
      <c r="C132" t="s">
        <v>62</v>
      </c>
      <c r="D132" t="s">
        <f>'客户档案'!B5</f>
        <v>63</v>
      </c>
      <c r="E132" t="s">
        <v>39</v>
      </c>
      <c r="F132" t="s">
        <v>40</v>
      </c>
      <c r="G132" t="s">
        <f>'商品目录'!B3</f>
        <v>41</v>
      </c>
      <c r="H132" t="s">
        <v>42</v>
      </c>
      <c r="I132">
        <v>8</v>
      </c>
      <c r="J132" s="4">
        <v>99</v>
      </c>
      <c r="K132" s="4">
        <f>I132*J132</f>
        <v>792</v>
      </c>
      <c r="L132" s="3">
        <v>0</v>
      </c>
      <c r="M132" s="4">
        <f>K132*L132</f>
        <v>0</v>
      </c>
      <c r="N132" s="4">
        <v>20</v>
      </c>
      <c r="O132" s="4">
        <f>K132-M132+N132</f>
        <v>812</v>
      </c>
      <c r="P132" t="s">
        <v>43</v>
      </c>
      <c r="Q132" t="b">
        <v>0</v>
      </c>
      <c r="R132" t="s">
        <v>44</v>
      </c>
      <c r="S132" t="s">
        <v>68</v>
      </c>
      <c r="T132" t="s">
        <v>69</v>
      </c>
      <c r="U132" t="s">
        <v>39</v>
      </c>
      <c r="V132" t="s">
        <v>63</v>
      </c>
      <c r="W132" t="s">
        <v>330</v>
      </c>
      <c r="X132" t="s">
        <v>0</v>
      </c>
      <c r="Y132">
        <v>9007199254741121</v>
      </c>
      <c r="Z132">
        <v>0</v>
      </c>
      <c r="AA132" t="s">
        <v>63</v>
      </c>
      <c r="AB132" t="b">
        <v>0</v>
      </c>
      <c r="AD132" s="3">
        <v>0.125</v>
      </c>
      <c r="AE132" s="2">
        <v>45918.5</v>
      </c>
      <c r="AF132" t="s">
        <v>60</v>
      </c>
    </row>
    <row r="133">
      <c r="A133" t="s">
        <v>331</v>
      </c>
      <c r="B133" s="2">
        <v>45917.5</v>
      </c>
      <c r="C133" t="s">
        <v>37</v>
      </c>
      <c r="D133" t="s">
        <f>'客户档案'!B3</f>
        <v>38</v>
      </c>
      <c r="E133" t="s">
        <v>51</v>
      </c>
      <c r="F133" t="s">
        <v>52</v>
      </c>
      <c r="G133" t="s">
        <f>'商品目录'!B4</f>
        <v>53</v>
      </c>
      <c r="H133" t="s">
        <v>54</v>
      </c>
      <c r="I133">
        <v>10</v>
      </c>
      <c r="J133" s="4">
        <v>129</v>
      </c>
      <c r="K133" s="4">
        <f>I133*J133</f>
        <v>1290</v>
      </c>
      <c r="L133" s="3">
        <v>0.5</v>
      </c>
      <c r="M133" s="4">
        <f>K133*L133</f>
        <v>645</v>
      </c>
      <c r="N133" s="4">
        <v>0</v>
      </c>
      <c r="O133" s="4">
        <f>K133-M133+N133</f>
        <v>645</v>
      </c>
      <c r="P133" t="s">
        <v>43</v>
      </c>
      <c r="Q133" t="b">
        <v>1</v>
      </c>
      <c r="R133" t="s">
        <v>55</v>
      </c>
      <c r="S133" t="s">
        <v>45</v>
      </c>
      <c r="T133" t="s">
        <v>46</v>
      </c>
      <c r="U133" t="s">
        <v>51</v>
      </c>
      <c r="V133" t="s">
        <v>38</v>
      </c>
      <c r="W133" t="s">
        <v>332</v>
      </c>
      <c r="X133" t="s">
        <v>59</v>
      </c>
      <c r="Y133">
        <v>9007199254741122</v>
      </c>
      <c r="Z133">
        <v>0</v>
      </c>
      <c r="AA133" t="s">
        <v>38</v>
      </c>
      <c r="AB133" t="b">
        <v>1</v>
      </c>
      <c r="AD133" s="3">
        <v>0.125</v>
      </c>
      <c r="AE133" s="2">
        <v>45919.5</v>
      </c>
      <c r="AF133" t="s">
        <v>60</v>
      </c>
    </row>
    <row r="134">
      <c r="A134" t="s">
        <v>333</v>
      </c>
      <c r="B134" s="2">
        <v>45918.5</v>
      </c>
      <c r="C134" t="s">
        <v>49</v>
      </c>
      <c r="D134" t="s">
        <f>'客户档案'!B4</f>
        <v>50</v>
      </c>
      <c r="E134" t="s">
        <v>64</v>
      </c>
      <c r="F134" t="s">
        <v>65</v>
      </c>
      <c r="G134" t="s">
        <f>'商品目录'!B5</f>
        <v>66</v>
      </c>
      <c r="H134" t="s">
        <v>67</v>
      </c>
      <c r="I134">
        <v>2</v>
      </c>
      <c r="J134" s="4">
        <v>45</v>
      </c>
      <c r="K134" s="4">
        <f>I134*J134</f>
        <v>90</v>
      </c>
      <c r="L134" s="3">
        <v>0</v>
      </c>
      <c r="M134" s="4">
        <f>K134*L134</f>
        <v>0</v>
      </c>
      <c r="N134" s="4">
        <v>10</v>
      </c>
      <c r="O134" s="4">
        <f>K134-M134+N134</f>
        <v>100</v>
      </c>
      <c r="P134" t="s">
        <v>43</v>
      </c>
      <c r="Q134" t="b">
        <v>1</v>
      </c>
      <c r="R134" t="s">
        <v>55</v>
      </c>
      <c r="S134" t="s">
        <v>56</v>
      </c>
      <c r="T134" t="s">
        <v>57</v>
      </c>
      <c r="U134" t="s">
        <v>70</v>
      </c>
      <c r="V134" t="s">
        <v>50</v>
      </c>
      <c r="W134" t="s">
        <v>334</v>
      </c>
      <c r="X134" t="s">
        <v>72</v>
      </c>
      <c r="Y134">
        <v>9007199254741123</v>
      </c>
      <c r="Z134">
        <v>0</v>
      </c>
      <c r="AA134" t="s">
        <v>50</v>
      </c>
      <c r="AB134" t="b">
        <v>0</v>
      </c>
      <c r="AD134" s="3">
        <v>0.125</v>
      </c>
      <c r="AE134" s="2">
        <v>45920.5</v>
      </c>
      <c r="AF134" t="s">
        <v>60</v>
      </c>
    </row>
    <row r="135">
      <c r="A135" t="s">
        <v>335</v>
      </c>
      <c r="B135" s="2">
        <v>45919.5</v>
      </c>
      <c r="C135" t="s">
        <v>62</v>
      </c>
      <c r="D135" t="s">
        <f>'客户档案'!B5</f>
        <v>63</v>
      </c>
      <c r="E135" t="s">
        <v>74</v>
      </c>
      <c r="F135" t="s">
        <v>75</v>
      </c>
      <c r="G135" t="s">
        <f>'商品目录'!B6</f>
        <v>76</v>
      </c>
      <c r="H135" t="s">
        <v>77</v>
      </c>
      <c r="I135">
        <v>4</v>
      </c>
      <c r="J135" s="4">
        <v>8</v>
      </c>
      <c r="K135" s="4">
        <f>I135*J135</f>
        <v>32</v>
      </c>
      <c r="L135" s="3">
        <v>0.5</v>
      </c>
      <c r="M135" s="4">
        <f>K135*L135</f>
        <v>16</v>
      </c>
      <c r="N135" s="4">
        <v>20</v>
      </c>
      <c r="O135" s="4">
        <f>K135-M135+N135</f>
        <v>36</v>
      </c>
      <c r="P135" t="s">
        <v>43</v>
      </c>
      <c r="Q135" t="b">
        <v>1</v>
      </c>
      <c r="R135" t="s">
        <v>55</v>
      </c>
      <c r="S135" t="s">
        <v>68</v>
      </c>
      <c r="T135" t="s">
        <v>69</v>
      </c>
      <c r="U135" t="s">
        <v>78</v>
      </c>
      <c r="V135" t="s">
        <v>63</v>
      </c>
      <c r="W135" t="s">
        <v>336</v>
      </c>
      <c r="X135" t="s">
        <v>80</v>
      </c>
      <c r="Y135">
        <v>9007199254741124</v>
      </c>
      <c r="Z135">
        <v>0</v>
      </c>
      <c r="AA135" t="s">
        <v>63</v>
      </c>
      <c r="AB135" t="b">
        <v>1</v>
      </c>
      <c r="AD135" s="3">
        <v>0.125</v>
      </c>
      <c r="AE135" s="2">
        <v>45921.5</v>
      </c>
      <c r="AF135" t="s">
        <v>60</v>
      </c>
    </row>
    <row r="136">
      <c r="A136" t="s">
        <v>337</v>
      </c>
      <c r="B136" s="2">
        <v>45920.5</v>
      </c>
      <c r="C136" t="s">
        <v>37</v>
      </c>
      <c r="D136" t="s">
        <f>'客户档案'!B3</f>
        <v>38</v>
      </c>
      <c r="E136" t="s">
        <v>39</v>
      </c>
      <c r="F136" t="s">
        <v>40</v>
      </c>
      <c r="G136" t="s">
        <f>'商品目录'!B3</f>
        <v>41</v>
      </c>
      <c r="H136" t="s">
        <v>42</v>
      </c>
      <c r="I136">
        <v>6</v>
      </c>
      <c r="J136" s="4">
        <v>99</v>
      </c>
      <c r="K136" s="4">
        <f>I136*J136</f>
        <v>594</v>
      </c>
      <c r="L136" s="3">
        <v>0</v>
      </c>
      <c r="M136" s="4">
        <f>K136*L136</f>
        <v>0</v>
      </c>
      <c r="N136" s="4">
        <v>0</v>
      </c>
      <c r="O136" s="4">
        <f>K136-M136+N136</f>
        <v>594</v>
      </c>
      <c r="P136" t="s">
        <v>43</v>
      </c>
      <c r="Q136" t="b">
        <v>0</v>
      </c>
      <c r="R136" t="s">
        <v>44</v>
      </c>
      <c r="S136" t="s">
        <v>45</v>
      </c>
      <c r="T136" t="s">
        <v>46</v>
      </c>
      <c r="U136" t="s">
        <v>39</v>
      </c>
      <c r="V136" t="s">
        <v>38</v>
      </c>
      <c r="W136" t="s">
        <v>338</v>
      </c>
      <c r="X136" t="s">
        <v>0</v>
      </c>
      <c r="Y136">
        <v>9007199254741125</v>
      </c>
      <c r="Z136">
        <v>0</v>
      </c>
      <c r="AA136" t="s">
        <v>38</v>
      </c>
      <c r="AB136" t="b">
        <v>0</v>
      </c>
      <c r="AD136" s="3">
        <v>0.125</v>
      </c>
      <c r="AE136" s="2">
        <v>45922.5</v>
      </c>
      <c r="AF136" t="s">
        <v>60</v>
      </c>
    </row>
    <row r="137">
      <c r="A137" t="s">
        <v>339</v>
      </c>
      <c r="B137" s="2">
        <v>45921.5</v>
      </c>
      <c r="C137" t="s">
        <v>49</v>
      </c>
      <c r="D137" t="s">
        <f>'客户档案'!B4</f>
        <v>50</v>
      </c>
      <c r="E137" t="s">
        <v>51</v>
      </c>
      <c r="F137" t="s">
        <v>52</v>
      </c>
      <c r="G137" t="s">
        <f>'商品目录'!B4</f>
        <v>53</v>
      </c>
      <c r="H137" t="s">
        <v>54</v>
      </c>
      <c r="I137">
        <v>8</v>
      </c>
      <c r="J137" s="4">
        <v>129</v>
      </c>
      <c r="K137" s="4">
        <f>I137*J137</f>
        <v>1032</v>
      </c>
      <c r="L137" s="3">
        <v>0.5</v>
      </c>
      <c r="M137" s="4">
        <f>K137*L137</f>
        <v>516</v>
      </c>
      <c r="N137" s="4">
        <v>10</v>
      </c>
      <c r="O137" s="4">
        <f>K137-M137+N137</f>
        <v>526</v>
      </c>
      <c r="P137" t="s">
        <v>43</v>
      </c>
      <c r="Q137" t="b">
        <v>1</v>
      </c>
      <c r="R137" t="s">
        <v>55</v>
      </c>
      <c r="S137" t="s">
        <v>56</v>
      </c>
      <c r="T137" t="s">
        <v>57</v>
      </c>
      <c r="U137" t="s">
        <v>51</v>
      </c>
      <c r="V137" t="s">
        <v>50</v>
      </c>
      <c r="W137" t="s">
        <v>340</v>
      </c>
      <c r="X137" t="s">
        <v>59</v>
      </c>
      <c r="Y137">
        <v>9007199254741126</v>
      </c>
      <c r="Z137">
        <v>0</v>
      </c>
      <c r="AA137" t="s">
        <v>50</v>
      </c>
      <c r="AB137" t="b">
        <v>1</v>
      </c>
      <c r="AD137" s="3">
        <v>0.125</v>
      </c>
      <c r="AE137" s="2">
        <v>45923.5</v>
      </c>
      <c r="AF137" t="s">
        <v>60</v>
      </c>
    </row>
    <row r="138">
      <c r="A138" t="s">
        <v>341</v>
      </c>
      <c r="B138" s="2">
        <v>45922.5</v>
      </c>
      <c r="C138" t="s">
        <v>62</v>
      </c>
      <c r="D138" t="s">
        <f>'客户档案'!B5</f>
        <v>63</v>
      </c>
      <c r="E138" t="s">
        <v>64</v>
      </c>
      <c r="F138" t="s">
        <v>65</v>
      </c>
      <c r="G138" t="s">
        <f>'商品目录'!B5</f>
        <v>66</v>
      </c>
      <c r="H138" t="s">
        <v>67</v>
      </c>
      <c r="I138">
        <v>10</v>
      </c>
      <c r="J138" s="4">
        <v>45</v>
      </c>
      <c r="K138" s="4">
        <f>I138*J138</f>
        <v>450</v>
      </c>
      <c r="L138" s="3">
        <v>0</v>
      </c>
      <c r="M138" s="4">
        <f>K138*L138</f>
        <v>0</v>
      </c>
      <c r="N138" s="4">
        <v>20</v>
      </c>
      <c r="O138" s="4">
        <f>K138-M138+N138</f>
        <v>470</v>
      </c>
      <c r="P138" t="s">
        <v>43</v>
      </c>
      <c r="Q138" t="b">
        <v>1</v>
      </c>
      <c r="R138" t="s">
        <v>55</v>
      </c>
      <c r="S138" t="s">
        <v>68</v>
      </c>
      <c r="T138" t="s">
        <v>69</v>
      </c>
      <c r="U138" t="s">
        <v>70</v>
      </c>
      <c r="V138" t="s">
        <v>63</v>
      </c>
      <c r="W138" t="s">
        <v>342</v>
      </c>
      <c r="X138" t="s">
        <v>72</v>
      </c>
      <c r="Y138">
        <v>9007199254741127</v>
      </c>
      <c r="Z138">
        <v>0</v>
      </c>
      <c r="AA138" t="s">
        <v>63</v>
      </c>
      <c r="AB138" t="b">
        <v>0</v>
      </c>
      <c r="AD138" s="3">
        <v>0.125</v>
      </c>
      <c r="AE138" s="2">
        <v>45924.5</v>
      </c>
      <c r="AF138" t="s">
        <v>60</v>
      </c>
    </row>
    <row r="139">
      <c r="A139" t="s">
        <v>343</v>
      </c>
      <c r="B139" s="2">
        <v>45923.5</v>
      </c>
      <c r="C139" t="s">
        <v>37</v>
      </c>
      <c r="D139" t="s">
        <f>'客户档案'!B3</f>
        <v>38</v>
      </c>
      <c r="E139" t="s">
        <v>74</v>
      </c>
      <c r="F139" t="s">
        <v>75</v>
      </c>
      <c r="G139" t="s">
        <f>'商品目录'!B6</f>
        <v>76</v>
      </c>
      <c r="H139" t="s">
        <v>77</v>
      </c>
      <c r="I139">
        <v>2</v>
      </c>
      <c r="J139" s="4">
        <v>8</v>
      </c>
      <c r="K139" s="4">
        <f>I139*J139</f>
        <v>16</v>
      </c>
      <c r="L139" s="3">
        <v>0.5</v>
      </c>
      <c r="M139" s="4">
        <f>K139*L139</f>
        <v>8</v>
      </c>
      <c r="N139" s="4">
        <v>0</v>
      </c>
      <c r="O139" s="4">
        <f>K139-M139+N139</f>
        <v>8</v>
      </c>
      <c r="P139" t="s">
        <v>43</v>
      </c>
      <c r="Q139" t="b">
        <v>1</v>
      </c>
      <c r="R139" t="s">
        <v>55</v>
      </c>
      <c r="S139" t="s">
        <v>45</v>
      </c>
      <c r="T139" t="s">
        <v>46</v>
      </c>
      <c r="U139" t="s">
        <v>78</v>
      </c>
      <c r="V139" t="s">
        <v>38</v>
      </c>
      <c r="W139" t="s">
        <v>344</v>
      </c>
      <c r="X139" t="s">
        <v>80</v>
      </c>
      <c r="Y139">
        <v>9007199254741128</v>
      </c>
      <c r="Z139">
        <v>0</v>
      </c>
      <c r="AA139" t="s">
        <v>38</v>
      </c>
      <c r="AB139" t="b">
        <v>1</v>
      </c>
      <c r="AD139" s="3">
        <v>0.125</v>
      </c>
      <c r="AE139" s="2">
        <v>45925.5</v>
      </c>
      <c r="AF139" t="s">
        <v>60</v>
      </c>
    </row>
    <row r="140">
      <c r="A140" t="s">
        <v>345</v>
      </c>
      <c r="B140" s="2">
        <v>45924.5</v>
      </c>
      <c r="C140" t="s">
        <v>49</v>
      </c>
      <c r="D140" t="s">
        <f>'客户档案'!B4</f>
        <v>50</v>
      </c>
      <c r="E140" t="s">
        <v>39</v>
      </c>
      <c r="F140" t="s">
        <v>40</v>
      </c>
      <c r="G140" t="s">
        <f>'商品目录'!B3</f>
        <v>41</v>
      </c>
      <c r="H140" t="s">
        <v>42</v>
      </c>
      <c r="I140">
        <v>4</v>
      </c>
      <c r="J140" s="4">
        <v>99</v>
      </c>
      <c r="K140" s="4">
        <f>I140*J140</f>
        <v>396</v>
      </c>
      <c r="L140" s="3">
        <v>0</v>
      </c>
      <c r="M140" s="4">
        <f>K140*L140</f>
        <v>0</v>
      </c>
      <c r="N140" s="4">
        <v>10</v>
      </c>
      <c r="O140" s="4">
        <f>K140-M140+N140</f>
        <v>406</v>
      </c>
      <c r="P140" t="s">
        <v>43</v>
      </c>
      <c r="Q140" t="b">
        <v>0</v>
      </c>
      <c r="R140" t="s">
        <v>44</v>
      </c>
      <c r="S140" t="s">
        <v>56</v>
      </c>
      <c r="T140" t="s">
        <v>57</v>
      </c>
      <c r="U140" t="s">
        <v>39</v>
      </c>
      <c r="V140" t="s">
        <v>50</v>
      </c>
      <c r="W140" t="s">
        <v>346</v>
      </c>
      <c r="X140" t="s">
        <v>0</v>
      </c>
      <c r="Y140">
        <v>9007199254741129</v>
      </c>
      <c r="Z140">
        <v>2</v>
      </c>
      <c r="AA140" t="s">
        <v>50</v>
      </c>
      <c r="AB140" t="b">
        <v>0</v>
      </c>
      <c r="AD140" s="3">
        <v>0.125</v>
      </c>
      <c r="AE140" s="2">
        <v>45926.5</v>
      </c>
      <c r="AF140" t="s">
        <v>60</v>
      </c>
    </row>
    <row r="141">
      <c r="A141" t="s">
        <v>347</v>
      </c>
      <c r="B141" s="2">
        <v>45925.5</v>
      </c>
      <c r="C141" t="s">
        <v>62</v>
      </c>
      <c r="D141" t="s">
        <f>'客户档案'!B5</f>
        <v>63</v>
      </c>
      <c r="E141" t="s">
        <v>51</v>
      </c>
      <c r="F141" t="s">
        <v>52</v>
      </c>
      <c r="G141" t="s">
        <f>'商品目录'!B4</f>
        <v>53</v>
      </c>
      <c r="H141" t="s">
        <v>54</v>
      </c>
      <c r="I141">
        <v>6</v>
      </c>
      <c r="J141" s="4">
        <v>129</v>
      </c>
      <c r="K141" s="4">
        <f>I141*J141</f>
        <v>774</v>
      </c>
      <c r="L141" s="3">
        <v>0.5</v>
      </c>
      <c r="M141" s="4">
        <f>K141*L141</f>
        <v>387</v>
      </c>
      <c r="N141" s="4">
        <v>20</v>
      </c>
      <c r="O141" s="4">
        <f>K141-M141+N141</f>
        <v>407</v>
      </c>
      <c r="P141" t="s">
        <v>43</v>
      </c>
      <c r="Q141" t="b">
        <v>1</v>
      </c>
      <c r="R141" t="s">
        <v>55</v>
      </c>
      <c r="S141" t="s">
        <v>68</v>
      </c>
      <c r="T141" t="s">
        <v>69</v>
      </c>
      <c r="U141" t="s">
        <v>51</v>
      </c>
      <c r="V141" t="s">
        <v>63</v>
      </c>
      <c r="W141" t="s">
        <v>348</v>
      </c>
      <c r="X141" t="s">
        <v>59</v>
      </c>
      <c r="Y141">
        <v>9007199254741130</v>
      </c>
      <c r="Z141">
        <v>0</v>
      </c>
      <c r="AA141" t="s">
        <v>63</v>
      </c>
      <c r="AB141" t="b">
        <v>1</v>
      </c>
      <c r="AD141" s="3">
        <v>0.125</v>
      </c>
      <c r="AE141" s="2">
        <v>45927.5</v>
      </c>
      <c r="AF141" t="s">
        <v>60</v>
      </c>
    </row>
    <row r="142">
      <c r="A142" t="s">
        <v>349</v>
      </c>
      <c r="B142" s="2">
        <v>45926.5</v>
      </c>
      <c r="C142" t="s">
        <v>37</v>
      </c>
      <c r="D142" t="s">
        <f>'客户档案'!B3</f>
        <v>38</v>
      </c>
      <c r="E142" t="s">
        <v>64</v>
      </c>
      <c r="F142" t="s">
        <v>65</v>
      </c>
      <c r="G142" t="s">
        <f>'商品目录'!B5</f>
        <v>66</v>
      </c>
      <c r="H142" t="s">
        <v>67</v>
      </c>
      <c r="I142">
        <v>8</v>
      </c>
      <c r="J142" s="4">
        <v>45</v>
      </c>
      <c r="K142" s="4">
        <f>I142*J142</f>
        <v>360</v>
      </c>
      <c r="L142" s="3">
        <v>0</v>
      </c>
      <c r="M142" s="4">
        <f>K142*L142</f>
        <v>0</v>
      </c>
      <c r="N142" s="4">
        <v>0</v>
      </c>
      <c r="O142" s="4">
        <f>K142-M142+N142</f>
        <v>360</v>
      </c>
      <c r="P142" t="s">
        <v>43</v>
      </c>
      <c r="Q142" t="b">
        <v>1</v>
      </c>
      <c r="R142" t="s">
        <v>55</v>
      </c>
      <c r="S142" t="s">
        <v>45</v>
      </c>
      <c r="T142" t="s">
        <v>46</v>
      </c>
      <c r="U142" t="s">
        <v>70</v>
      </c>
      <c r="V142" t="s">
        <v>38</v>
      </c>
      <c r="W142" t="s">
        <v>350</v>
      </c>
      <c r="X142" t="s">
        <v>72</v>
      </c>
      <c r="Y142">
        <v>9007199254741131</v>
      </c>
      <c r="Z142">
        <v>0</v>
      </c>
      <c r="AA142" t="s">
        <v>38</v>
      </c>
      <c r="AB142" t="b">
        <v>0</v>
      </c>
      <c r="AD142" s="3">
        <v>0.125</v>
      </c>
      <c r="AE142" s="2">
        <v>45928.5</v>
      </c>
      <c r="AF142" t="s">
        <v>60</v>
      </c>
    </row>
    <row r="143">
      <c r="A143" t="s">
        <v>351</v>
      </c>
      <c r="B143" s="2">
        <v>45927.5</v>
      </c>
      <c r="C143" t="s">
        <v>49</v>
      </c>
      <c r="D143" t="s">
        <f>'客户档案'!B4</f>
        <v>50</v>
      </c>
      <c r="E143" t="s">
        <v>74</v>
      </c>
      <c r="F143" t="s">
        <v>75</v>
      </c>
      <c r="G143" t="s">
        <f>'商品目录'!B6</f>
        <v>76</v>
      </c>
      <c r="H143" t="s">
        <v>77</v>
      </c>
      <c r="I143">
        <v>10</v>
      </c>
      <c r="J143" s="4">
        <v>8</v>
      </c>
      <c r="K143" s="4">
        <f>I143*J143</f>
        <v>80</v>
      </c>
      <c r="L143" s="3">
        <v>0.5</v>
      </c>
      <c r="M143" s="4">
        <f>K143*L143</f>
        <v>40</v>
      </c>
      <c r="N143" s="4">
        <v>10</v>
      </c>
      <c r="O143" s="4">
        <f>K143-M143+N143</f>
        <v>50</v>
      </c>
      <c r="P143" t="s">
        <v>43</v>
      </c>
      <c r="Q143" t="b">
        <v>1</v>
      </c>
      <c r="R143" t="s">
        <v>55</v>
      </c>
      <c r="S143" t="s">
        <v>56</v>
      </c>
      <c r="T143" t="s">
        <v>57</v>
      </c>
      <c r="U143" t="s">
        <v>78</v>
      </c>
      <c r="V143" t="s">
        <v>50</v>
      </c>
      <c r="W143" t="s">
        <v>352</v>
      </c>
      <c r="X143" t="s">
        <v>80</v>
      </c>
      <c r="Y143">
        <v>9007199254741132</v>
      </c>
      <c r="Z143">
        <v>0</v>
      </c>
      <c r="AA143" t="s">
        <v>50</v>
      </c>
      <c r="AB143" t="b">
        <v>1</v>
      </c>
      <c r="AD143" s="3">
        <v>0.125</v>
      </c>
      <c r="AE143" s="2">
        <v>45929.5</v>
      </c>
      <c r="AF143" t="s">
        <v>60</v>
      </c>
    </row>
    <row r="144">
      <c r="A144" t="s">
        <v>353</v>
      </c>
      <c r="B144" s="2">
        <v>45900.5</v>
      </c>
      <c r="C144" t="s">
        <v>62</v>
      </c>
      <c r="D144" t="s">
        <f>'客户档案'!B5</f>
        <v>63</v>
      </c>
      <c r="E144" t="s">
        <v>39</v>
      </c>
      <c r="F144" t="s">
        <v>40</v>
      </c>
      <c r="G144" t="s">
        <f>'商品目录'!B3</f>
        <v>41</v>
      </c>
      <c r="H144" t="s">
        <v>42</v>
      </c>
      <c r="I144">
        <v>2</v>
      </c>
      <c r="J144" s="4">
        <v>99</v>
      </c>
      <c r="K144" s="4">
        <f>I144*J144</f>
        <v>198</v>
      </c>
      <c r="L144" s="3">
        <v>0</v>
      </c>
      <c r="M144" s="4">
        <f>K144*L144</f>
        <v>0</v>
      </c>
      <c r="N144" s="4">
        <v>20</v>
      </c>
      <c r="O144" s="4">
        <f>K144-M144+N144</f>
        <v>218</v>
      </c>
      <c r="P144" t="s">
        <v>43</v>
      </c>
      <c r="Q144" t="b">
        <v>0</v>
      </c>
      <c r="R144" t="s">
        <v>44</v>
      </c>
      <c r="S144" t="s">
        <v>68</v>
      </c>
      <c r="T144" t="s">
        <v>69</v>
      </c>
      <c r="U144" t="s">
        <v>39</v>
      </c>
      <c r="V144" t="s">
        <v>63</v>
      </c>
      <c r="W144" t="s">
        <v>354</v>
      </c>
      <c r="X144" t="s">
        <v>0</v>
      </c>
      <c r="Y144">
        <v>9007199254741133</v>
      </c>
      <c r="Z144">
        <v>0</v>
      </c>
      <c r="AA144" t="s">
        <v>63</v>
      </c>
      <c r="AB144" t="b">
        <v>0</v>
      </c>
      <c r="AD144" s="3">
        <v>0.125</v>
      </c>
      <c r="AE144" s="2">
        <v>45902.5</v>
      </c>
      <c r="AF144" t="s">
        <v>60</v>
      </c>
    </row>
    <row r="145">
      <c r="A145" t="s">
        <v>355</v>
      </c>
      <c r="B145" s="2">
        <v>45901.5</v>
      </c>
      <c r="C145" t="s">
        <v>37</v>
      </c>
      <c r="D145" t="s">
        <f>'客户档案'!B3</f>
        <v>38</v>
      </c>
      <c r="E145" t="s">
        <v>51</v>
      </c>
      <c r="F145" t="s">
        <v>52</v>
      </c>
      <c r="G145" t="s">
        <f>'商品目录'!B4</f>
        <v>53</v>
      </c>
      <c r="H145" t="s">
        <v>54</v>
      </c>
      <c r="I145">
        <v>4</v>
      </c>
      <c r="J145" s="4">
        <v>129</v>
      </c>
      <c r="K145" s="4">
        <f>I145*J145</f>
        <v>516</v>
      </c>
      <c r="L145" s="3">
        <v>0.5</v>
      </c>
      <c r="M145" s="4">
        <f>K145*L145</f>
        <v>258</v>
      </c>
      <c r="N145" s="4">
        <v>0</v>
      </c>
      <c r="O145" s="4">
        <f>K145-M145+N145</f>
        <v>258</v>
      </c>
      <c r="P145" t="s">
        <v>43</v>
      </c>
      <c r="Q145" t="b">
        <v>1</v>
      </c>
      <c r="R145" t="s">
        <v>55</v>
      </c>
      <c r="S145" t="s">
        <v>45</v>
      </c>
      <c r="T145" t="s">
        <v>46</v>
      </c>
      <c r="U145" t="s">
        <v>51</v>
      </c>
      <c r="V145" t="s">
        <v>38</v>
      </c>
      <c r="W145" t="s">
        <v>356</v>
      </c>
      <c r="X145" t="s">
        <v>59</v>
      </c>
      <c r="Y145">
        <v>9007199254741134</v>
      </c>
      <c r="Z145">
        <v>0</v>
      </c>
      <c r="AA145" t="s">
        <v>38</v>
      </c>
      <c r="AB145" t="b">
        <v>1</v>
      </c>
      <c r="AD145" s="3">
        <v>0.125</v>
      </c>
      <c r="AE145" s="2">
        <v>45903.5</v>
      </c>
      <c r="AF145" t="s">
        <v>60</v>
      </c>
    </row>
    <row r="146">
      <c r="A146" t="s">
        <v>357</v>
      </c>
      <c r="B146" s="2">
        <v>45902.5</v>
      </c>
      <c r="C146" t="s">
        <v>49</v>
      </c>
      <c r="D146" t="s">
        <f>'客户档案'!B4</f>
        <v>50</v>
      </c>
      <c r="E146" t="s">
        <v>64</v>
      </c>
      <c r="F146" t="s">
        <v>65</v>
      </c>
      <c r="G146" t="s">
        <f>'商品目录'!B5</f>
        <v>66</v>
      </c>
      <c r="H146" t="s">
        <v>67</v>
      </c>
      <c r="I146">
        <v>6</v>
      </c>
      <c r="J146" s="4">
        <v>45</v>
      </c>
      <c r="K146" s="4">
        <f>I146*J146</f>
        <v>270</v>
      </c>
      <c r="L146" s="3">
        <v>0</v>
      </c>
      <c r="M146" s="4">
        <f>K146*L146</f>
        <v>0</v>
      </c>
      <c r="N146" s="4">
        <v>10</v>
      </c>
      <c r="O146" s="4">
        <f>K146-M146+N146</f>
        <v>280</v>
      </c>
      <c r="P146" t="s">
        <v>43</v>
      </c>
      <c r="Q146" t="b">
        <v>1</v>
      </c>
      <c r="R146" t="s">
        <v>55</v>
      </c>
      <c r="S146" t="s">
        <v>56</v>
      </c>
      <c r="T146" t="s">
        <v>57</v>
      </c>
      <c r="U146" t="s">
        <v>70</v>
      </c>
      <c r="V146" t="s">
        <v>50</v>
      </c>
      <c r="W146" t="s">
        <v>358</v>
      </c>
      <c r="X146" t="s">
        <v>72</v>
      </c>
      <c r="Y146">
        <v>9007199254741135</v>
      </c>
      <c r="Z146">
        <v>0</v>
      </c>
      <c r="AA146" t="s">
        <v>50</v>
      </c>
      <c r="AB146" t="b">
        <v>0</v>
      </c>
      <c r="AD146" s="3">
        <v>0.125</v>
      </c>
      <c r="AE146" s="2">
        <v>45904.5</v>
      </c>
      <c r="AF146" t="s">
        <v>60</v>
      </c>
    </row>
    <row r="147">
      <c r="A147" t="s">
        <v>359</v>
      </c>
      <c r="B147" s="2">
        <v>45903.5</v>
      </c>
      <c r="C147" t="s">
        <v>62</v>
      </c>
      <c r="D147" t="s">
        <f>'客户档案'!B5</f>
        <v>63</v>
      </c>
      <c r="E147" t="s">
        <v>74</v>
      </c>
      <c r="F147" t="s">
        <v>75</v>
      </c>
      <c r="G147" t="s">
        <f>'商品目录'!B6</f>
        <v>76</v>
      </c>
      <c r="H147" t="s">
        <v>77</v>
      </c>
      <c r="I147">
        <v>8</v>
      </c>
      <c r="J147" s="4">
        <v>8</v>
      </c>
      <c r="K147" s="4">
        <f>I147*J147</f>
        <v>64</v>
      </c>
      <c r="L147" s="3">
        <v>0.5</v>
      </c>
      <c r="M147" s="4">
        <f>K147*L147</f>
        <v>32</v>
      </c>
      <c r="N147" s="4">
        <v>20</v>
      </c>
      <c r="O147" s="4">
        <f>K147-M147+N147</f>
        <v>52</v>
      </c>
      <c r="P147" t="s">
        <v>43</v>
      </c>
      <c r="Q147" t="b">
        <v>1</v>
      </c>
      <c r="R147" t="s">
        <v>55</v>
      </c>
      <c r="S147" t="s">
        <v>68</v>
      </c>
      <c r="T147" t="s">
        <v>69</v>
      </c>
      <c r="U147" t="s">
        <v>78</v>
      </c>
      <c r="V147" t="s">
        <v>63</v>
      </c>
      <c r="W147" t="s">
        <v>360</v>
      </c>
      <c r="X147" t="s">
        <v>80</v>
      </c>
      <c r="Y147">
        <v>9007199254741136</v>
      </c>
      <c r="Z147">
        <v>0</v>
      </c>
      <c r="AA147" t="s">
        <v>63</v>
      </c>
      <c r="AB147" t="b">
        <v>1</v>
      </c>
      <c r="AD147" s="3">
        <v>0.125</v>
      </c>
      <c r="AE147" s="2">
        <v>45905.5</v>
      </c>
      <c r="AF147" t="s">
        <v>60</v>
      </c>
    </row>
    <row r="148">
      <c r="A148" t="s">
        <v>361</v>
      </c>
      <c r="B148" s="2">
        <v>45904.5</v>
      </c>
      <c r="C148" t="s">
        <v>37</v>
      </c>
      <c r="D148" t="s">
        <f>'客户档案'!B3</f>
        <v>38</v>
      </c>
      <c r="E148" t="s">
        <v>39</v>
      </c>
      <c r="F148" t="s">
        <v>40</v>
      </c>
      <c r="G148" t="s">
        <f>'商品目录'!B3</f>
        <v>41</v>
      </c>
      <c r="H148" t="s">
        <v>42</v>
      </c>
      <c r="I148">
        <v>10</v>
      </c>
      <c r="J148" s="4">
        <v>99</v>
      </c>
      <c r="K148" s="4">
        <f>I148*J148</f>
        <v>990</v>
      </c>
      <c r="L148" s="3">
        <v>0</v>
      </c>
      <c r="M148" s="4">
        <f>K148*L148</f>
        <v>0</v>
      </c>
      <c r="N148" s="4">
        <v>0</v>
      </c>
      <c r="O148" s="4">
        <f>K148-M148+N148</f>
        <v>990</v>
      </c>
      <c r="P148" t="s">
        <v>43</v>
      </c>
      <c r="Q148" t="b">
        <v>0</v>
      </c>
      <c r="R148" t="s">
        <v>44</v>
      </c>
      <c r="S148" t="s">
        <v>45</v>
      </c>
      <c r="T148" t="s">
        <v>46</v>
      </c>
      <c r="U148" t="s">
        <v>39</v>
      </c>
      <c r="V148" t="s">
        <v>38</v>
      </c>
      <c r="W148" t="s">
        <v>362</v>
      </c>
      <c r="X148" t="s">
        <v>0</v>
      </c>
      <c r="Y148">
        <v>9007199254741137</v>
      </c>
      <c r="Z148">
        <v>0</v>
      </c>
      <c r="AA148" t="s">
        <v>38</v>
      </c>
      <c r="AB148" t="b">
        <v>0</v>
      </c>
      <c r="AD148" s="3">
        <v>0.125</v>
      </c>
      <c r="AE148" s="2">
        <v>45906.5</v>
      </c>
      <c r="AF148" t="s">
        <v>60</v>
      </c>
    </row>
    <row r="149">
      <c r="A149" t="s">
        <v>363</v>
      </c>
      <c r="B149" s="2">
        <v>45905.5</v>
      </c>
      <c r="C149" t="s">
        <v>49</v>
      </c>
      <c r="D149" t="s">
        <f>'客户档案'!B4</f>
        <v>50</v>
      </c>
      <c r="E149" t="s">
        <v>51</v>
      </c>
      <c r="F149" t="s">
        <v>52</v>
      </c>
      <c r="G149" t="s">
        <f>'商品目录'!B4</f>
        <v>53</v>
      </c>
      <c r="H149" t="s">
        <v>54</v>
      </c>
      <c r="I149">
        <v>2</v>
      </c>
      <c r="J149" s="4">
        <v>129</v>
      </c>
      <c r="K149" s="4">
        <f>I149*J149</f>
        <v>258</v>
      </c>
      <c r="L149" s="3">
        <v>0.5</v>
      </c>
      <c r="M149" s="4">
        <f>K149*L149</f>
        <v>129</v>
      </c>
      <c r="N149" s="4">
        <v>10</v>
      </c>
      <c r="O149" s="4">
        <f>K149-M149+N149</f>
        <v>139</v>
      </c>
      <c r="P149" t="s">
        <v>43</v>
      </c>
      <c r="Q149" t="b">
        <v>1</v>
      </c>
      <c r="R149" t="s">
        <v>55</v>
      </c>
      <c r="S149" t="s">
        <v>56</v>
      </c>
      <c r="T149" t="s">
        <v>57</v>
      </c>
      <c r="U149" t="s">
        <v>51</v>
      </c>
      <c r="V149" t="s">
        <v>50</v>
      </c>
      <c r="W149" t="s">
        <v>364</v>
      </c>
      <c r="X149" t="s">
        <v>59</v>
      </c>
      <c r="Y149">
        <v>9007199254741138</v>
      </c>
      <c r="Z149">
        <v>0</v>
      </c>
      <c r="AA149" t="s">
        <v>50</v>
      </c>
      <c r="AB149" t="b">
        <v>1</v>
      </c>
      <c r="AD149" s="3">
        <v>0.125</v>
      </c>
      <c r="AE149" s="2">
        <v>45907.5</v>
      </c>
      <c r="AF149" t="s">
        <v>60</v>
      </c>
    </row>
    <row r="150">
      <c r="A150" t="s">
        <v>365</v>
      </c>
      <c r="B150" s="2">
        <v>45906.5</v>
      </c>
      <c r="C150" t="s">
        <v>62</v>
      </c>
      <c r="D150" t="s">
        <f>'客户档案'!B5</f>
        <v>63</v>
      </c>
      <c r="E150" t="s">
        <v>64</v>
      </c>
      <c r="F150" t="s">
        <v>65</v>
      </c>
      <c r="G150" t="s">
        <f>'商品目录'!B5</f>
        <v>66</v>
      </c>
      <c r="H150" t="s">
        <v>67</v>
      </c>
      <c r="I150">
        <v>4</v>
      </c>
      <c r="J150" s="4">
        <v>45</v>
      </c>
      <c r="K150" s="4">
        <f>I150*J150</f>
        <v>180</v>
      </c>
      <c r="L150" s="3">
        <v>0</v>
      </c>
      <c r="M150" s="4">
        <f>K150*L150</f>
        <v>0</v>
      </c>
      <c r="N150" s="4">
        <v>20</v>
      </c>
      <c r="O150" s="4">
        <f>K150-M150+N150</f>
        <v>200</v>
      </c>
      <c r="P150" t="s">
        <v>43</v>
      </c>
      <c r="Q150" t="b">
        <v>1</v>
      </c>
      <c r="R150" t="s">
        <v>55</v>
      </c>
      <c r="S150" t="s">
        <v>68</v>
      </c>
      <c r="T150" t="s">
        <v>69</v>
      </c>
      <c r="U150" t="s">
        <v>70</v>
      </c>
      <c r="V150" t="s">
        <v>63</v>
      </c>
      <c r="W150" t="s">
        <v>366</v>
      </c>
      <c r="X150" t="s">
        <v>72</v>
      </c>
      <c r="Y150">
        <v>9007199254741139</v>
      </c>
      <c r="Z150">
        <v>0</v>
      </c>
      <c r="AA150" t="s">
        <v>63</v>
      </c>
      <c r="AB150" t="b">
        <v>0</v>
      </c>
      <c r="AD150" s="3">
        <v>0.125</v>
      </c>
      <c r="AE150" s="2">
        <v>45908.5</v>
      </c>
      <c r="AF150" t="s">
        <v>60</v>
      </c>
    </row>
    <row r="151">
      <c r="A151" t="s">
        <v>367</v>
      </c>
      <c r="B151" s="2">
        <v>45907.5</v>
      </c>
      <c r="C151" t="s">
        <v>37</v>
      </c>
      <c r="D151" t="s">
        <f>'客户档案'!B3</f>
        <v>38</v>
      </c>
      <c r="E151" t="s">
        <v>74</v>
      </c>
      <c r="F151" t="s">
        <v>75</v>
      </c>
      <c r="G151" t="s">
        <f>'商品目录'!B6</f>
        <v>76</v>
      </c>
      <c r="H151" t="s">
        <v>77</v>
      </c>
      <c r="I151">
        <v>6</v>
      </c>
      <c r="J151" s="4">
        <v>8</v>
      </c>
      <c r="K151" s="4">
        <f>I151*J151</f>
        <v>48</v>
      </c>
      <c r="L151" s="3">
        <v>0.5</v>
      </c>
      <c r="M151" s="4">
        <f>K151*L151</f>
        <v>24</v>
      </c>
      <c r="N151" s="4">
        <v>0</v>
      </c>
      <c r="O151" s="4">
        <f>K151-M151+N151</f>
        <v>24</v>
      </c>
      <c r="P151" t="s">
        <v>43</v>
      </c>
      <c r="Q151" t="b">
        <v>1</v>
      </c>
      <c r="R151" t="s">
        <v>55</v>
      </c>
      <c r="S151" t="s">
        <v>45</v>
      </c>
      <c r="T151" t="s">
        <v>46</v>
      </c>
      <c r="U151" t="s">
        <v>78</v>
      </c>
      <c r="V151" t="s">
        <v>38</v>
      </c>
      <c r="W151" t="s">
        <v>368</v>
      </c>
      <c r="X151" t="s">
        <v>80</v>
      </c>
      <c r="Y151">
        <v>9007199254741140</v>
      </c>
      <c r="Z151">
        <v>0</v>
      </c>
      <c r="AA151" t="s">
        <v>38</v>
      </c>
      <c r="AB151" t="b">
        <v>1</v>
      </c>
      <c r="AD151" s="3">
        <v>0.125</v>
      </c>
      <c r="AE151" s="2">
        <v>45909.5</v>
      </c>
      <c r="AF151" t="s">
        <v>60</v>
      </c>
    </row>
    <row r="152">
      <c r="A152" t="s">
        <v>369</v>
      </c>
      <c r="B152" s="2">
        <v>45908.5</v>
      </c>
      <c r="C152" t="s">
        <v>49</v>
      </c>
      <c r="D152" t="s">
        <f>'客户档案'!B4</f>
        <v>50</v>
      </c>
      <c r="E152" t="s">
        <v>39</v>
      </c>
      <c r="F152" t="s">
        <v>40</v>
      </c>
      <c r="G152" t="s">
        <f>'商品目录'!B3</f>
        <v>41</v>
      </c>
      <c r="H152" t="s">
        <v>42</v>
      </c>
      <c r="I152">
        <v>8</v>
      </c>
      <c r="J152" s="4">
        <v>99</v>
      </c>
      <c r="K152" s="4">
        <f>I152*J152</f>
        <v>792</v>
      </c>
      <c r="L152" s="3">
        <v>0</v>
      </c>
      <c r="M152" s="4">
        <f>K152*L152</f>
        <v>0</v>
      </c>
      <c r="N152" s="4">
        <v>10</v>
      </c>
      <c r="O152" s="4">
        <f>K152-M152+N152</f>
        <v>802</v>
      </c>
      <c r="P152" t="s">
        <v>43</v>
      </c>
      <c r="Q152" t="b">
        <v>0</v>
      </c>
      <c r="R152" t="s">
        <v>44</v>
      </c>
      <c r="S152" t="s">
        <v>56</v>
      </c>
      <c r="T152" t="s">
        <v>57</v>
      </c>
      <c r="U152" t="s">
        <v>39</v>
      </c>
      <c r="V152" t="s">
        <v>50</v>
      </c>
      <c r="W152" t="s">
        <v>370</v>
      </c>
      <c r="X152" t="s">
        <v>0</v>
      </c>
      <c r="Y152">
        <v>9007199254741141</v>
      </c>
      <c r="Z152">
        <v>0</v>
      </c>
      <c r="AA152" t="s">
        <v>50</v>
      </c>
      <c r="AB152" t="b">
        <v>0</v>
      </c>
      <c r="AD152" s="3">
        <v>0.125</v>
      </c>
      <c r="AE152" s="2">
        <v>45910.5</v>
      </c>
      <c r="AF152" t="s">
        <v>60</v>
      </c>
    </row>
    <row r="153">
      <c r="A153" t="s">
        <v>371</v>
      </c>
      <c r="B153" s="2">
        <v>45909.5</v>
      </c>
      <c r="C153" t="s">
        <v>62</v>
      </c>
      <c r="D153" t="s">
        <f>'客户档案'!B5</f>
        <v>63</v>
      </c>
      <c r="E153" t="s">
        <v>51</v>
      </c>
      <c r="F153" t="s">
        <v>52</v>
      </c>
      <c r="G153" t="s">
        <f>'商品目录'!B4</f>
        <v>53</v>
      </c>
      <c r="H153" t="s">
        <v>54</v>
      </c>
      <c r="I153">
        <v>10</v>
      </c>
      <c r="J153" s="4">
        <v>129</v>
      </c>
      <c r="K153" s="4">
        <f>I153*J153</f>
        <v>1290</v>
      </c>
      <c r="L153" s="3">
        <v>0.5</v>
      </c>
      <c r="M153" s="4">
        <f>K153*L153</f>
        <v>645</v>
      </c>
      <c r="N153" s="4">
        <v>20</v>
      </c>
      <c r="O153" s="4">
        <f>K153-M153+N153</f>
        <v>665</v>
      </c>
      <c r="P153" t="s">
        <v>43</v>
      </c>
      <c r="Q153" t="b">
        <v>1</v>
      </c>
      <c r="R153" t="s">
        <v>55</v>
      </c>
      <c r="S153" t="s">
        <v>68</v>
      </c>
      <c r="T153" t="s">
        <v>69</v>
      </c>
      <c r="U153" t="s">
        <v>51</v>
      </c>
      <c r="V153" t="s">
        <v>63</v>
      </c>
      <c r="W153" t="s">
        <v>372</v>
      </c>
      <c r="X153" t="s">
        <v>59</v>
      </c>
      <c r="Y153">
        <v>9007199254741142</v>
      </c>
      <c r="Z153">
        <v>0</v>
      </c>
      <c r="AA153" t="s">
        <v>63</v>
      </c>
      <c r="AB153" t="b">
        <v>1</v>
      </c>
      <c r="AD153" s="3">
        <v>0.125</v>
      </c>
      <c r="AE153" s="2">
        <v>45911.5</v>
      </c>
      <c r="AF153" t="s">
        <v>60</v>
      </c>
    </row>
    <row r="154">
      <c r="A154" t="s">
        <v>373</v>
      </c>
      <c r="B154" s="2">
        <v>45910.5</v>
      </c>
      <c r="C154" t="s">
        <v>37</v>
      </c>
      <c r="D154" t="s">
        <f>'客户档案'!B3</f>
        <v>38</v>
      </c>
      <c r="E154" t="s">
        <v>64</v>
      </c>
      <c r="F154" t="s">
        <v>65</v>
      </c>
      <c r="G154" t="s">
        <f>'商品目录'!B5</f>
        <v>66</v>
      </c>
      <c r="H154" t="s">
        <v>67</v>
      </c>
      <c r="I154">
        <v>2</v>
      </c>
      <c r="J154" s="4">
        <v>45</v>
      </c>
      <c r="K154" s="4">
        <f>I154*J154</f>
        <v>90</v>
      </c>
      <c r="L154" s="3">
        <v>0</v>
      </c>
      <c r="M154" s="4">
        <f>K154*L154</f>
        <v>0</v>
      </c>
      <c r="N154" s="4">
        <v>0</v>
      </c>
      <c r="O154" s="4">
        <f>K154-M154+N154</f>
        <v>90</v>
      </c>
      <c r="P154" t="s">
        <v>43</v>
      </c>
      <c r="Q154" t="b">
        <v>1</v>
      </c>
      <c r="R154" t="s">
        <v>55</v>
      </c>
      <c r="S154" t="s">
        <v>45</v>
      </c>
      <c r="T154" t="s">
        <v>46</v>
      </c>
      <c r="U154" t="s">
        <v>70</v>
      </c>
      <c r="V154" t="s">
        <v>38</v>
      </c>
      <c r="W154" t="s">
        <v>374</v>
      </c>
      <c r="X154" t="s">
        <v>72</v>
      </c>
      <c r="Y154">
        <v>9007199254741143</v>
      </c>
      <c r="Z154">
        <v>0</v>
      </c>
      <c r="AA154" t="s">
        <v>38</v>
      </c>
      <c r="AB154" t="b">
        <v>0</v>
      </c>
      <c r="AD154" s="3">
        <v>0.125</v>
      </c>
      <c r="AE154" s="2">
        <v>45912.5</v>
      </c>
      <c r="AF154" t="s">
        <v>60</v>
      </c>
    </row>
    <row r="155">
      <c r="A155" t="s">
        <v>375</v>
      </c>
      <c r="B155" s="2">
        <v>45911.5</v>
      </c>
      <c r="C155" t="s">
        <v>49</v>
      </c>
      <c r="D155" t="s">
        <f>'客户档案'!B4</f>
        <v>50</v>
      </c>
      <c r="E155" t="s">
        <v>74</v>
      </c>
      <c r="F155" t="s">
        <v>75</v>
      </c>
      <c r="G155" t="s">
        <f>'商品目录'!B6</f>
        <v>76</v>
      </c>
      <c r="H155" t="s">
        <v>77</v>
      </c>
      <c r="I155">
        <v>4</v>
      </c>
      <c r="J155" s="4">
        <v>8</v>
      </c>
      <c r="K155" s="4">
        <f>I155*J155</f>
        <v>32</v>
      </c>
      <c r="L155" s="3">
        <v>0.5</v>
      </c>
      <c r="M155" s="4">
        <f>K155*L155</f>
        <v>16</v>
      </c>
      <c r="N155" s="4">
        <v>10</v>
      </c>
      <c r="O155" s="4">
        <f>K155-M155+N155</f>
        <v>26</v>
      </c>
      <c r="P155" t="s">
        <v>43</v>
      </c>
      <c r="Q155" t="b">
        <v>1</v>
      </c>
      <c r="R155" t="s">
        <v>55</v>
      </c>
      <c r="S155" t="s">
        <v>56</v>
      </c>
      <c r="T155" t="s">
        <v>57</v>
      </c>
      <c r="U155" t="s">
        <v>78</v>
      </c>
      <c r="V155" t="s">
        <v>50</v>
      </c>
      <c r="W155" t="s">
        <v>376</v>
      </c>
      <c r="X155" t="s">
        <v>80</v>
      </c>
      <c r="Y155">
        <v>9007199254741144</v>
      </c>
      <c r="Z155">
        <v>0</v>
      </c>
      <c r="AA155" t="s">
        <v>50</v>
      </c>
      <c r="AB155" t="b">
        <v>1</v>
      </c>
      <c r="AD155" s="3">
        <v>0.125</v>
      </c>
      <c r="AE155" s="2">
        <v>45913.5</v>
      </c>
      <c r="AF155" t="s">
        <v>60</v>
      </c>
    </row>
    <row r="156">
      <c r="A156" t="s">
        <v>377</v>
      </c>
      <c r="B156" s="2">
        <v>45912.5</v>
      </c>
      <c r="C156" t="s">
        <v>62</v>
      </c>
      <c r="D156" t="s">
        <f>'客户档案'!B5</f>
        <v>63</v>
      </c>
      <c r="E156" t="s">
        <v>39</v>
      </c>
      <c r="F156" t="s">
        <v>40</v>
      </c>
      <c r="G156" t="s">
        <f>'商品目录'!B3</f>
        <v>41</v>
      </c>
      <c r="H156" t="s">
        <v>42</v>
      </c>
      <c r="I156">
        <v>6</v>
      </c>
      <c r="J156" s="4">
        <v>99</v>
      </c>
      <c r="K156" s="4">
        <f>I156*J156</f>
        <v>594</v>
      </c>
      <c r="L156" s="3">
        <v>0</v>
      </c>
      <c r="M156" s="4">
        <f>K156*L156</f>
        <v>0</v>
      </c>
      <c r="N156" s="4">
        <v>20</v>
      </c>
      <c r="O156" s="4">
        <f>K156-M156+N156</f>
        <v>614</v>
      </c>
      <c r="P156" t="s">
        <v>43</v>
      </c>
      <c r="Q156" t="b">
        <v>0</v>
      </c>
      <c r="R156" t="s">
        <v>44</v>
      </c>
      <c r="S156" t="s">
        <v>68</v>
      </c>
      <c r="T156" t="s">
        <v>69</v>
      </c>
      <c r="U156" t="s">
        <v>39</v>
      </c>
      <c r="V156" t="s">
        <v>63</v>
      </c>
      <c r="W156" t="s">
        <v>378</v>
      </c>
      <c r="X156" t="s">
        <v>0</v>
      </c>
      <c r="Y156">
        <v>9007199254741145</v>
      </c>
      <c r="Z156">
        <v>0</v>
      </c>
      <c r="AA156" t="s">
        <v>63</v>
      </c>
      <c r="AB156" t="b">
        <v>0</v>
      </c>
      <c r="AD156" s="3">
        <v>0.125</v>
      </c>
      <c r="AE156" s="2">
        <v>45914.5</v>
      </c>
      <c r="AF156" t="s">
        <v>60</v>
      </c>
    </row>
    <row r="157">
      <c r="A157" t="s">
        <v>379</v>
      </c>
      <c r="B157" s="2">
        <v>45913.5</v>
      </c>
      <c r="C157" t="s">
        <v>37</v>
      </c>
      <c r="D157" t="s">
        <f>'客户档案'!B3</f>
        <v>38</v>
      </c>
      <c r="E157" t="s">
        <v>51</v>
      </c>
      <c r="F157" t="s">
        <v>52</v>
      </c>
      <c r="G157" t="s">
        <f>'商品目录'!B4</f>
        <v>53</v>
      </c>
      <c r="H157" t="s">
        <v>54</v>
      </c>
      <c r="I157">
        <v>8</v>
      </c>
      <c r="J157" s="4">
        <v>129</v>
      </c>
      <c r="K157" s="4">
        <f>I157*J157</f>
        <v>1032</v>
      </c>
      <c r="L157" s="3">
        <v>0.5</v>
      </c>
      <c r="M157" s="4">
        <f>K157*L157</f>
        <v>516</v>
      </c>
      <c r="N157" s="4">
        <v>0</v>
      </c>
      <c r="O157" s="4">
        <f>K157-M157+N157</f>
        <v>516</v>
      </c>
      <c r="P157" t="s">
        <v>43</v>
      </c>
      <c r="Q157" t="b">
        <v>1</v>
      </c>
      <c r="R157" t="s">
        <v>55</v>
      </c>
      <c r="S157" t="s">
        <v>45</v>
      </c>
      <c r="T157" t="s">
        <v>46</v>
      </c>
      <c r="U157" t="s">
        <v>51</v>
      </c>
      <c r="V157" t="s">
        <v>38</v>
      </c>
      <c r="W157" t="s">
        <v>380</v>
      </c>
      <c r="X157" t="s">
        <v>59</v>
      </c>
      <c r="Y157">
        <v>9007199254741146</v>
      </c>
      <c r="Z157">
        <v>2</v>
      </c>
      <c r="AA157" t="s">
        <v>38</v>
      </c>
      <c r="AB157" t="b">
        <v>1</v>
      </c>
      <c r="AD157" s="3">
        <v>0.125</v>
      </c>
      <c r="AE157" s="2">
        <v>45915.5</v>
      </c>
      <c r="AF157" t="s">
        <v>60</v>
      </c>
    </row>
    <row r="158">
      <c r="A158" t="s">
        <v>381</v>
      </c>
      <c r="B158" s="2">
        <v>45914.5</v>
      </c>
      <c r="C158" t="s">
        <v>49</v>
      </c>
      <c r="D158" t="s">
        <f>'客户档案'!B4</f>
        <v>50</v>
      </c>
      <c r="E158" t="s">
        <v>64</v>
      </c>
      <c r="F158" t="s">
        <v>65</v>
      </c>
      <c r="G158" t="s">
        <f>'商品目录'!B5</f>
        <v>66</v>
      </c>
      <c r="H158" t="s">
        <v>67</v>
      </c>
      <c r="I158">
        <v>10</v>
      </c>
      <c r="J158" s="4">
        <v>45</v>
      </c>
      <c r="K158" s="4">
        <f>I158*J158</f>
        <v>450</v>
      </c>
      <c r="L158" s="3">
        <v>0</v>
      </c>
      <c r="M158" s="4">
        <f>K158*L158</f>
        <v>0</v>
      </c>
      <c r="N158" s="4">
        <v>10</v>
      </c>
      <c r="O158" s="4">
        <f>K158-M158+N158</f>
        <v>460</v>
      </c>
      <c r="P158" t="s">
        <v>43</v>
      </c>
      <c r="Q158" t="b">
        <v>1</v>
      </c>
      <c r="R158" t="s">
        <v>55</v>
      </c>
      <c r="S158" t="s">
        <v>56</v>
      </c>
      <c r="T158" t="s">
        <v>57</v>
      </c>
      <c r="U158" t="s">
        <v>70</v>
      </c>
      <c r="V158" t="s">
        <v>50</v>
      </c>
      <c r="W158" t="s">
        <v>382</v>
      </c>
      <c r="X158" t="s">
        <v>72</v>
      </c>
      <c r="Y158">
        <v>9007199254741147</v>
      </c>
      <c r="Z158">
        <v>0</v>
      </c>
      <c r="AA158" t="s">
        <v>50</v>
      </c>
      <c r="AB158" t="b">
        <v>0</v>
      </c>
      <c r="AD158" s="3">
        <v>0.125</v>
      </c>
      <c r="AE158" s="2">
        <v>45916.5</v>
      </c>
      <c r="AF158" t="s">
        <v>60</v>
      </c>
    </row>
    <row r="159">
      <c r="A159" t="s">
        <v>383</v>
      </c>
      <c r="B159" s="2">
        <v>45915.5</v>
      </c>
      <c r="C159" t="s">
        <v>62</v>
      </c>
      <c r="D159" t="s">
        <f>'客户档案'!B5</f>
        <v>63</v>
      </c>
      <c r="E159" t="s">
        <v>74</v>
      </c>
      <c r="F159" t="s">
        <v>75</v>
      </c>
      <c r="G159" t="s">
        <f>'商品目录'!B6</f>
        <v>76</v>
      </c>
      <c r="H159" t="s">
        <v>77</v>
      </c>
      <c r="I159">
        <v>2</v>
      </c>
      <c r="J159" s="4">
        <v>8</v>
      </c>
      <c r="K159" s="4">
        <f>I159*J159</f>
        <v>16</v>
      </c>
      <c r="L159" s="3">
        <v>0.5</v>
      </c>
      <c r="M159" s="4">
        <f>K159*L159</f>
        <v>8</v>
      </c>
      <c r="N159" s="4">
        <v>20</v>
      </c>
      <c r="O159" s="4">
        <f>K159-M159+N159</f>
        <v>28</v>
      </c>
      <c r="P159" t="s">
        <v>43</v>
      </c>
      <c r="Q159" t="b">
        <v>1</v>
      </c>
      <c r="R159" t="s">
        <v>55</v>
      </c>
      <c r="S159" t="s">
        <v>68</v>
      </c>
      <c r="T159" t="s">
        <v>69</v>
      </c>
      <c r="U159" t="s">
        <v>78</v>
      </c>
      <c r="V159" t="s">
        <v>63</v>
      </c>
      <c r="W159" t="s">
        <v>384</v>
      </c>
      <c r="X159" t="s">
        <v>80</v>
      </c>
      <c r="Y159">
        <v>9007199254741148</v>
      </c>
      <c r="Z159">
        <v>0</v>
      </c>
      <c r="AA159" t="s">
        <v>63</v>
      </c>
      <c r="AB159" t="b">
        <v>1</v>
      </c>
      <c r="AD159" s="3">
        <v>0.125</v>
      </c>
      <c r="AE159" s="2">
        <v>45917.5</v>
      </c>
      <c r="AF159" t="s">
        <v>60</v>
      </c>
    </row>
    <row r="160">
      <c r="A160" t="s">
        <v>385</v>
      </c>
      <c r="B160" s="2">
        <v>45916.5</v>
      </c>
      <c r="C160" t="s">
        <v>37</v>
      </c>
      <c r="D160" t="s">
        <f>'客户档案'!B3</f>
        <v>38</v>
      </c>
      <c r="E160" t="s">
        <v>39</v>
      </c>
      <c r="F160" t="s">
        <v>40</v>
      </c>
      <c r="G160" t="s">
        <f>'商品目录'!B3</f>
        <v>41</v>
      </c>
      <c r="H160" t="s">
        <v>42</v>
      </c>
      <c r="I160">
        <v>4</v>
      </c>
      <c r="J160" s="4">
        <v>99</v>
      </c>
      <c r="K160" s="4">
        <f>I160*J160</f>
        <v>396</v>
      </c>
      <c r="L160" s="3">
        <v>0</v>
      </c>
      <c r="M160" s="4">
        <f>K160*L160</f>
        <v>0</v>
      </c>
      <c r="N160" s="4">
        <v>0</v>
      </c>
      <c r="O160" s="4">
        <f>K160-M160+N160</f>
        <v>396</v>
      </c>
      <c r="P160" t="s">
        <v>43</v>
      </c>
      <c r="Q160" t="b">
        <v>0</v>
      </c>
      <c r="R160" t="s">
        <v>44</v>
      </c>
      <c r="S160" t="s">
        <v>45</v>
      </c>
      <c r="T160" t="s">
        <v>46</v>
      </c>
      <c r="U160" t="s">
        <v>39</v>
      </c>
      <c r="V160" t="s">
        <v>38</v>
      </c>
      <c r="W160" t="s">
        <v>386</v>
      </c>
      <c r="X160" t="s">
        <v>0</v>
      </c>
      <c r="Y160">
        <v>9007199254741149</v>
      </c>
      <c r="Z160">
        <v>0</v>
      </c>
      <c r="AA160" t="s">
        <v>38</v>
      </c>
      <c r="AB160" t="b">
        <v>0</v>
      </c>
      <c r="AD160" s="3">
        <v>0.125</v>
      </c>
      <c r="AE160" s="2">
        <v>45918.5</v>
      </c>
      <c r="AF160" t="s">
        <v>60</v>
      </c>
    </row>
    <row r="161">
      <c r="A161" t="s">
        <v>387</v>
      </c>
      <c r="B161" s="2">
        <v>45917.5</v>
      </c>
      <c r="C161" t="s">
        <v>49</v>
      </c>
      <c r="D161" t="s">
        <f>'客户档案'!B4</f>
        <v>50</v>
      </c>
      <c r="E161" t="s">
        <v>51</v>
      </c>
      <c r="F161" t="s">
        <v>52</v>
      </c>
      <c r="G161" t="s">
        <f>'商品目录'!B4</f>
        <v>53</v>
      </c>
      <c r="H161" t="s">
        <v>54</v>
      </c>
      <c r="I161">
        <v>6</v>
      </c>
      <c r="J161" s="4">
        <v>129</v>
      </c>
      <c r="K161" s="4">
        <f>I161*J161</f>
        <v>774</v>
      </c>
      <c r="L161" s="3">
        <v>0.5</v>
      </c>
      <c r="M161" s="4">
        <f>K161*L161</f>
        <v>387</v>
      </c>
      <c r="N161" s="4">
        <v>10</v>
      </c>
      <c r="O161" s="4">
        <f>K161-M161+N161</f>
        <v>397</v>
      </c>
      <c r="P161" t="s">
        <v>43</v>
      </c>
      <c r="Q161" t="b">
        <v>1</v>
      </c>
      <c r="R161" t="s">
        <v>55</v>
      </c>
      <c r="S161" t="s">
        <v>56</v>
      </c>
      <c r="T161" t="s">
        <v>57</v>
      </c>
      <c r="U161" t="s">
        <v>51</v>
      </c>
      <c r="V161" t="s">
        <v>50</v>
      </c>
      <c r="W161" t="s">
        <v>388</v>
      </c>
      <c r="X161" t="s">
        <v>59</v>
      </c>
      <c r="Y161">
        <v>9007199254741150</v>
      </c>
      <c r="Z161">
        <v>0</v>
      </c>
      <c r="AA161" t="s">
        <v>50</v>
      </c>
      <c r="AB161" t="b">
        <v>1</v>
      </c>
      <c r="AD161" s="3">
        <v>0.125</v>
      </c>
      <c r="AE161" s="2">
        <v>45919.5</v>
      </c>
      <c r="AF161" t="s">
        <v>60</v>
      </c>
    </row>
    <row r="162">
      <c r="A162" t="s">
        <v>389</v>
      </c>
      <c r="B162" s="2">
        <v>45918.5</v>
      </c>
      <c r="C162" t="s">
        <v>62</v>
      </c>
      <c r="D162" t="s">
        <f>'客户档案'!B5</f>
        <v>63</v>
      </c>
      <c r="E162" t="s">
        <v>64</v>
      </c>
      <c r="F162" t="s">
        <v>65</v>
      </c>
      <c r="G162" t="s">
        <f>'商品目录'!B5</f>
        <v>66</v>
      </c>
      <c r="H162" t="s">
        <v>67</v>
      </c>
      <c r="I162">
        <v>8</v>
      </c>
      <c r="J162" s="4">
        <v>45</v>
      </c>
      <c r="K162" s="4">
        <f>I162*J162</f>
        <v>360</v>
      </c>
      <c r="L162" s="3">
        <v>0</v>
      </c>
      <c r="M162" s="4">
        <f>K162*L162</f>
        <v>0</v>
      </c>
      <c r="N162" s="4">
        <v>20</v>
      </c>
      <c r="O162" s="4">
        <f>K162-M162+N162</f>
        <v>380</v>
      </c>
      <c r="P162" t="s">
        <v>43</v>
      </c>
      <c r="Q162" t="b">
        <v>1</v>
      </c>
      <c r="R162" t="s">
        <v>55</v>
      </c>
      <c r="S162" t="s">
        <v>68</v>
      </c>
      <c r="T162" t="s">
        <v>69</v>
      </c>
      <c r="U162" t="s">
        <v>70</v>
      </c>
      <c r="V162" t="s">
        <v>63</v>
      </c>
      <c r="W162" t="s">
        <v>390</v>
      </c>
      <c r="X162" t="s">
        <v>72</v>
      </c>
      <c r="Y162">
        <v>9007199254741151</v>
      </c>
      <c r="Z162">
        <v>0</v>
      </c>
      <c r="AA162" t="s">
        <v>63</v>
      </c>
      <c r="AB162" t="b">
        <v>0</v>
      </c>
      <c r="AD162" s="3">
        <v>0.125</v>
      </c>
      <c r="AE162" s="2">
        <v>45920.5</v>
      </c>
      <c r="AF162" t="s">
        <v>60</v>
      </c>
    </row>
    <row r="163">
      <c r="A163" t="s">
        <v>391</v>
      </c>
      <c r="B163" s="2">
        <v>45919.5</v>
      </c>
      <c r="C163" t="s">
        <v>37</v>
      </c>
      <c r="D163" t="s">
        <f>'客户档案'!B3</f>
        <v>38</v>
      </c>
      <c r="E163" t="s">
        <v>74</v>
      </c>
      <c r="F163" t="s">
        <v>75</v>
      </c>
      <c r="G163" t="s">
        <f>'商品目录'!B6</f>
        <v>76</v>
      </c>
      <c r="H163" t="s">
        <v>77</v>
      </c>
      <c r="I163">
        <v>10</v>
      </c>
      <c r="J163" s="4">
        <v>8</v>
      </c>
      <c r="K163" s="4">
        <f>I163*J163</f>
        <v>80</v>
      </c>
      <c r="L163" s="3">
        <v>0.5</v>
      </c>
      <c r="M163" s="4">
        <f>K163*L163</f>
        <v>40</v>
      </c>
      <c r="N163" s="4">
        <v>0</v>
      </c>
      <c r="O163" s="4">
        <f>K163-M163+N163</f>
        <v>40</v>
      </c>
      <c r="P163" t="s">
        <v>43</v>
      </c>
      <c r="Q163" t="b">
        <v>1</v>
      </c>
      <c r="R163" t="s">
        <v>55</v>
      </c>
      <c r="S163" t="s">
        <v>45</v>
      </c>
      <c r="T163" t="s">
        <v>46</v>
      </c>
      <c r="U163" t="s">
        <v>78</v>
      </c>
      <c r="V163" t="s">
        <v>38</v>
      </c>
      <c r="W163" t="s">
        <v>392</v>
      </c>
      <c r="X163" t="s">
        <v>80</v>
      </c>
      <c r="Y163">
        <v>9007199254741152</v>
      </c>
      <c r="Z163">
        <v>0</v>
      </c>
      <c r="AA163" t="s">
        <v>38</v>
      </c>
      <c r="AB163" t="b">
        <v>1</v>
      </c>
      <c r="AD163" s="3">
        <v>0.125</v>
      </c>
      <c r="AE163" s="2">
        <v>45921.5</v>
      </c>
      <c r="AF163" t="s">
        <v>60</v>
      </c>
    </row>
    <row r="164">
      <c r="A164" t="s">
        <v>393</v>
      </c>
      <c r="B164" s="2">
        <v>45920.5</v>
      </c>
      <c r="C164" t="s">
        <v>49</v>
      </c>
      <c r="D164" t="s">
        <f>'客户档案'!B4</f>
        <v>50</v>
      </c>
      <c r="E164" t="s">
        <v>39</v>
      </c>
      <c r="F164" t="s">
        <v>40</v>
      </c>
      <c r="G164" t="s">
        <f>'商品目录'!B3</f>
        <v>41</v>
      </c>
      <c r="H164" t="s">
        <v>42</v>
      </c>
      <c r="I164">
        <v>2</v>
      </c>
      <c r="J164" s="4">
        <v>99</v>
      </c>
      <c r="K164" s="4">
        <f>I164*J164</f>
        <v>198</v>
      </c>
      <c r="L164" s="3">
        <v>0</v>
      </c>
      <c r="M164" s="4">
        <f>K164*L164</f>
        <v>0</v>
      </c>
      <c r="N164" s="4">
        <v>10</v>
      </c>
      <c r="O164" s="4">
        <f>K164-M164+N164</f>
        <v>208</v>
      </c>
      <c r="P164" t="s">
        <v>43</v>
      </c>
      <c r="Q164" t="b">
        <v>0</v>
      </c>
      <c r="R164" t="s">
        <v>44</v>
      </c>
      <c r="S164" t="s">
        <v>56</v>
      </c>
      <c r="T164" t="s">
        <v>57</v>
      </c>
      <c r="U164" t="s">
        <v>39</v>
      </c>
      <c r="V164" t="s">
        <v>50</v>
      </c>
      <c r="W164" t="s">
        <v>394</v>
      </c>
      <c r="X164" t="s">
        <v>0</v>
      </c>
      <c r="Y164">
        <v>9007199254741153</v>
      </c>
      <c r="Z164">
        <v>0</v>
      </c>
      <c r="AA164" t="s">
        <v>50</v>
      </c>
      <c r="AB164" t="b">
        <v>0</v>
      </c>
      <c r="AD164" s="3">
        <v>0.125</v>
      </c>
      <c r="AE164" s="2">
        <v>45922.5</v>
      </c>
      <c r="AF164" t="s">
        <v>60</v>
      </c>
    </row>
    <row r="165">
      <c r="A165" t="s">
        <v>395</v>
      </c>
      <c r="B165" s="2">
        <v>45921.5</v>
      </c>
      <c r="C165" t="s">
        <v>62</v>
      </c>
      <c r="D165" t="s">
        <f>'客户档案'!B5</f>
        <v>63</v>
      </c>
      <c r="E165" t="s">
        <v>51</v>
      </c>
      <c r="F165" t="s">
        <v>52</v>
      </c>
      <c r="G165" t="s">
        <f>'商品目录'!B4</f>
        <v>53</v>
      </c>
      <c r="H165" t="s">
        <v>54</v>
      </c>
      <c r="I165">
        <v>4</v>
      </c>
      <c r="J165" s="4">
        <v>129</v>
      </c>
      <c r="K165" s="4">
        <f>I165*J165</f>
        <v>516</v>
      </c>
      <c r="L165" s="3">
        <v>0.5</v>
      </c>
      <c r="M165" s="4">
        <f>K165*L165</f>
        <v>258</v>
      </c>
      <c r="N165" s="4">
        <v>20</v>
      </c>
      <c r="O165" s="4">
        <f>K165-M165+N165</f>
        <v>278</v>
      </c>
      <c r="P165" t="s">
        <v>43</v>
      </c>
      <c r="Q165" t="b">
        <v>1</v>
      </c>
      <c r="R165" t="s">
        <v>55</v>
      </c>
      <c r="S165" t="s">
        <v>68</v>
      </c>
      <c r="T165" t="s">
        <v>69</v>
      </c>
      <c r="U165" t="s">
        <v>51</v>
      </c>
      <c r="V165" t="s">
        <v>63</v>
      </c>
      <c r="W165" t="s">
        <v>396</v>
      </c>
      <c r="X165" t="s">
        <v>59</v>
      </c>
      <c r="Y165">
        <v>9007199254741154</v>
      </c>
      <c r="Z165">
        <v>0</v>
      </c>
      <c r="AA165" t="s">
        <v>63</v>
      </c>
      <c r="AB165" t="b">
        <v>1</v>
      </c>
      <c r="AD165" s="3">
        <v>0.125</v>
      </c>
      <c r="AE165" s="2">
        <v>45923.5</v>
      </c>
      <c r="AF165" t="s">
        <v>60</v>
      </c>
    </row>
    <row r="166">
      <c r="A166" t="s">
        <v>397</v>
      </c>
      <c r="B166" s="2">
        <v>45922.5</v>
      </c>
      <c r="C166" t="s">
        <v>37</v>
      </c>
      <c r="D166" t="s">
        <f>'客户档案'!B3</f>
        <v>38</v>
      </c>
      <c r="E166" t="s">
        <v>64</v>
      </c>
      <c r="F166" t="s">
        <v>65</v>
      </c>
      <c r="G166" t="s">
        <f>'商品目录'!B5</f>
        <v>66</v>
      </c>
      <c r="H166" t="s">
        <v>67</v>
      </c>
      <c r="I166">
        <v>6</v>
      </c>
      <c r="J166" s="4">
        <v>45</v>
      </c>
      <c r="K166" s="4">
        <f>I166*J166</f>
        <v>270</v>
      </c>
      <c r="L166" s="3">
        <v>0</v>
      </c>
      <c r="M166" s="4">
        <f>K166*L166</f>
        <v>0</v>
      </c>
      <c r="N166" s="4">
        <v>0</v>
      </c>
      <c r="O166" s="4">
        <f>K166-M166+N166</f>
        <v>270</v>
      </c>
      <c r="P166" t="s">
        <v>43</v>
      </c>
      <c r="Q166" t="b">
        <v>1</v>
      </c>
      <c r="R166" t="s">
        <v>55</v>
      </c>
      <c r="S166" t="s">
        <v>45</v>
      </c>
      <c r="T166" t="s">
        <v>46</v>
      </c>
      <c r="U166" t="s">
        <v>70</v>
      </c>
      <c r="V166" t="s">
        <v>38</v>
      </c>
      <c r="W166" t="s">
        <v>398</v>
      </c>
      <c r="X166" t="s">
        <v>72</v>
      </c>
      <c r="Y166">
        <v>9007199254741155</v>
      </c>
      <c r="Z166">
        <v>0</v>
      </c>
      <c r="AA166" t="s">
        <v>38</v>
      </c>
      <c r="AB166" t="b">
        <v>0</v>
      </c>
      <c r="AD166" s="3">
        <v>0.125</v>
      </c>
      <c r="AE166" s="2">
        <v>45924.5</v>
      </c>
      <c r="AF166" t="s">
        <v>60</v>
      </c>
    </row>
    <row r="167">
      <c r="A167" t="s">
        <v>399</v>
      </c>
      <c r="B167" s="2">
        <v>45923.5</v>
      </c>
      <c r="C167" t="s">
        <v>49</v>
      </c>
      <c r="D167" t="s">
        <f>'客户档案'!B4</f>
        <v>50</v>
      </c>
      <c r="E167" t="s">
        <v>74</v>
      </c>
      <c r="F167" t="s">
        <v>75</v>
      </c>
      <c r="G167" t="s">
        <f>'商品目录'!B6</f>
        <v>76</v>
      </c>
      <c r="H167" t="s">
        <v>77</v>
      </c>
      <c r="I167">
        <v>8</v>
      </c>
      <c r="J167" s="4">
        <v>8</v>
      </c>
      <c r="K167" s="4">
        <f>I167*J167</f>
        <v>64</v>
      </c>
      <c r="L167" s="3">
        <v>0.5</v>
      </c>
      <c r="M167" s="4">
        <f>K167*L167</f>
        <v>32</v>
      </c>
      <c r="N167" s="4">
        <v>10</v>
      </c>
      <c r="O167" s="4">
        <f>K167-M167+N167</f>
        <v>42</v>
      </c>
      <c r="P167" t="s">
        <v>43</v>
      </c>
      <c r="Q167" t="b">
        <v>1</v>
      </c>
      <c r="R167" t="s">
        <v>55</v>
      </c>
      <c r="S167" t="s">
        <v>56</v>
      </c>
      <c r="T167" t="s">
        <v>57</v>
      </c>
      <c r="U167" t="s">
        <v>78</v>
      </c>
      <c r="V167" t="s">
        <v>50</v>
      </c>
      <c r="W167" t="s">
        <v>400</v>
      </c>
      <c r="X167" t="s">
        <v>80</v>
      </c>
      <c r="Y167">
        <v>9007199254741156</v>
      </c>
      <c r="Z167">
        <v>0</v>
      </c>
      <c r="AA167" t="s">
        <v>50</v>
      </c>
      <c r="AB167" t="b">
        <v>1</v>
      </c>
      <c r="AD167" s="3">
        <v>0.125</v>
      </c>
      <c r="AE167" s="2">
        <v>45925.5</v>
      </c>
      <c r="AF167" t="s">
        <v>60</v>
      </c>
    </row>
    <row r="168">
      <c r="A168" t="s">
        <v>401</v>
      </c>
      <c r="B168" s="2">
        <v>45924.5</v>
      </c>
      <c r="C168" t="s">
        <v>62</v>
      </c>
      <c r="D168" t="s">
        <f>'客户档案'!B5</f>
        <v>63</v>
      </c>
      <c r="E168" t="s">
        <v>39</v>
      </c>
      <c r="F168" t="s">
        <v>40</v>
      </c>
      <c r="G168" t="s">
        <f>'商品目录'!B3</f>
        <v>41</v>
      </c>
      <c r="H168" t="s">
        <v>42</v>
      </c>
      <c r="I168">
        <v>10</v>
      </c>
      <c r="J168" s="4">
        <v>99</v>
      </c>
      <c r="K168" s="4">
        <f>I168*J168</f>
        <v>990</v>
      </c>
      <c r="L168" s="3">
        <v>0</v>
      </c>
      <c r="M168" s="4">
        <f>K168*L168</f>
        <v>0</v>
      </c>
      <c r="N168" s="4">
        <v>20</v>
      </c>
      <c r="O168" s="4">
        <f>K168-M168+N168</f>
        <v>1010</v>
      </c>
      <c r="P168" t="s">
        <v>43</v>
      </c>
      <c r="Q168" t="b">
        <v>0</v>
      </c>
      <c r="R168" t="s">
        <v>44</v>
      </c>
      <c r="S168" t="s">
        <v>68</v>
      </c>
      <c r="T168" t="s">
        <v>69</v>
      </c>
      <c r="U168" t="s">
        <v>39</v>
      </c>
      <c r="V168" t="s">
        <v>63</v>
      </c>
      <c r="W168" t="s">
        <v>402</v>
      </c>
      <c r="X168" t="s">
        <v>0</v>
      </c>
      <c r="Y168">
        <v>9007199254741157</v>
      </c>
      <c r="Z168">
        <v>0</v>
      </c>
      <c r="AA168" t="s">
        <v>63</v>
      </c>
      <c r="AB168" t="b">
        <v>0</v>
      </c>
      <c r="AD168" s="3">
        <v>0.125</v>
      </c>
      <c r="AE168" s="2">
        <v>45926.5</v>
      </c>
      <c r="AF168" t="s">
        <v>60</v>
      </c>
    </row>
    <row r="169">
      <c r="A169" t="s">
        <v>403</v>
      </c>
      <c r="B169" s="2">
        <v>45925.5</v>
      </c>
      <c r="C169" t="s">
        <v>37</v>
      </c>
      <c r="D169" t="s">
        <f>'客户档案'!B3</f>
        <v>38</v>
      </c>
      <c r="E169" t="s">
        <v>51</v>
      </c>
      <c r="F169" t="s">
        <v>52</v>
      </c>
      <c r="G169" t="s">
        <f>'商品目录'!B4</f>
        <v>53</v>
      </c>
      <c r="H169" t="s">
        <v>54</v>
      </c>
      <c r="I169">
        <v>2</v>
      </c>
      <c r="J169" s="4">
        <v>129</v>
      </c>
      <c r="K169" s="4">
        <f>I169*J169</f>
        <v>258</v>
      </c>
      <c r="L169" s="3">
        <v>0.5</v>
      </c>
      <c r="M169" s="4">
        <f>K169*L169</f>
        <v>129</v>
      </c>
      <c r="N169" s="4">
        <v>0</v>
      </c>
      <c r="O169" s="4">
        <f>K169-M169+N169</f>
        <v>129</v>
      </c>
      <c r="P169" t="s">
        <v>43</v>
      </c>
      <c r="Q169" t="b">
        <v>1</v>
      </c>
      <c r="R169" t="s">
        <v>55</v>
      </c>
      <c r="S169" t="s">
        <v>45</v>
      </c>
      <c r="T169" t="s">
        <v>46</v>
      </c>
      <c r="U169" t="s">
        <v>51</v>
      </c>
      <c r="V169" t="s">
        <v>38</v>
      </c>
      <c r="W169" t="s">
        <v>404</v>
      </c>
      <c r="X169" t="s">
        <v>59</v>
      </c>
      <c r="Y169">
        <v>9007199254741158</v>
      </c>
      <c r="Z169">
        <v>0</v>
      </c>
      <c r="AA169" t="s">
        <v>38</v>
      </c>
      <c r="AB169" t="b">
        <v>1</v>
      </c>
      <c r="AD169" s="3">
        <v>0.125</v>
      </c>
      <c r="AE169" s="2">
        <v>45927.5</v>
      </c>
      <c r="AF169" t="s">
        <v>60</v>
      </c>
    </row>
    <row r="170">
      <c r="A170" t="s">
        <v>405</v>
      </c>
      <c r="B170" s="2">
        <v>45926.5</v>
      </c>
      <c r="C170" t="s">
        <v>49</v>
      </c>
      <c r="D170" t="s">
        <f>'客户档案'!B4</f>
        <v>50</v>
      </c>
      <c r="E170" t="s">
        <v>64</v>
      </c>
      <c r="F170" t="s">
        <v>65</v>
      </c>
      <c r="G170" t="s">
        <f>'商品目录'!B5</f>
        <v>66</v>
      </c>
      <c r="H170" t="s">
        <v>67</v>
      </c>
      <c r="I170">
        <v>4</v>
      </c>
      <c r="J170" s="4">
        <v>45</v>
      </c>
      <c r="K170" s="4">
        <f>I170*J170</f>
        <v>180</v>
      </c>
      <c r="L170" s="3">
        <v>0</v>
      </c>
      <c r="M170" s="4">
        <f>K170*L170</f>
        <v>0</v>
      </c>
      <c r="N170" s="4">
        <v>10</v>
      </c>
      <c r="O170" s="4">
        <f>K170-M170+N170</f>
        <v>190</v>
      </c>
      <c r="P170" t="s">
        <v>43</v>
      </c>
      <c r="Q170" t="b">
        <v>1</v>
      </c>
      <c r="R170" t="s">
        <v>55</v>
      </c>
      <c r="S170" t="s">
        <v>56</v>
      </c>
      <c r="T170" t="s">
        <v>57</v>
      </c>
      <c r="U170" t="s">
        <v>70</v>
      </c>
      <c r="V170" t="s">
        <v>50</v>
      </c>
      <c r="W170" t="s">
        <v>406</v>
      </c>
      <c r="X170" t="s">
        <v>72</v>
      </c>
      <c r="Y170">
        <v>9007199254741159</v>
      </c>
      <c r="Z170">
        <v>0</v>
      </c>
      <c r="AA170" t="s">
        <v>50</v>
      </c>
      <c r="AB170" t="b">
        <v>0</v>
      </c>
      <c r="AD170" s="3">
        <v>0.125</v>
      </c>
      <c r="AE170" s="2">
        <v>45928.5</v>
      </c>
      <c r="AF170" t="s">
        <v>60</v>
      </c>
    </row>
    <row r="171">
      <c r="A171" t="s">
        <v>407</v>
      </c>
      <c r="B171" s="2">
        <v>45927.5</v>
      </c>
      <c r="C171" t="s">
        <v>62</v>
      </c>
      <c r="D171" t="s">
        <f>'客户档案'!B5</f>
        <v>63</v>
      </c>
      <c r="E171" t="s">
        <v>74</v>
      </c>
      <c r="F171" t="s">
        <v>75</v>
      </c>
      <c r="G171" t="s">
        <f>'商品目录'!B6</f>
        <v>76</v>
      </c>
      <c r="H171" t="s">
        <v>77</v>
      </c>
      <c r="I171">
        <v>6</v>
      </c>
      <c r="J171" s="4">
        <v>8</v>
      </c>
      <c r="K171" s="4">
        <f>I171*J171</f>
        <v>48</v>
      </c>
      <c r="L171" s="3">
        <v>0.5</v>
      </c>
      <c r="M171" s="4">
        <f>K171*L171</f>
        <v>24</v>
      </c>
      <c r="N171" s="4">
        <v>20</v>
      </c>
      <c r="O171" s="4">
        <f>K171-M171+N171</f>
        <v>44</v>
      </c>
      <c r="P171" t="s">
        <v>43</v>
      </c>
      <c r="Q171" t="b">
        <v>1</v>
      </c>
      <c r="R171" t="s">
        <v>55</v>
      </c>
      <c r="S171" t="s">
        <v>68</v>
      </c>
      <c r="T171" t="s">
        <v>69</v>
      </c>
      <c r="U171" t="s">
        <v>78</v>
      </c>
      <c r="V171" t="s">
        <v>63</v>
      </c>
      <c r="W171" t="s">
        <v>408</v>
      </c>
      <c r="X171" t="s">
        <v>80</v>
      </c>
      <c r="Y171">
        <v>9007199254741160</v>
      </c>
      <c r="Z171">
        <v>0</v>
      </c>
      <c r="AA171" t="s">
        <v>63</v>
      </c>
      <c r="AB171" t="b">
        <v>1</v>
      </c>
      <c r="AD171" s="3">
        <v>0.125</v>
      </c>
      <c r="AE171" s="2">
        <v>45929.5</v>
      </c>
      <c r="AF171" t="s">
        <v>60</v>
      </c>
    </row>
    <row r="172">
      <c r="A172" t="s">
        <v>409</v>
      </c>
      <c r="B172" s="2">
        <v>45900.5</v>
      </c>
      <c r="C172" t="s">
        <v>37</v>
      </c>
      <c r="D172" t="s">
        <f>'客户档案'!B3</f>
        <v>38</v>
      </c>
      <c r="E172" t="s">
        <v>39</v>
      </c>
      <c r="F172" t="s">
        <v>40</v>
      </c>
      <c r="G172" t="s">
        <f>'商品目录'!B3</f>
        <v>41</v>
      </c>
      <c r="H172" t="s">
        <v>42</v>
      </c>
      <c r="I172">
        <v>8</v>
      </c>
      <c r="J172" s="4">
        <v>99</v>
      </c>
      <c r="K172" s="4">
        <f>I172*J172</f>
        <v>792</v>
      </c>
      <c r="L172" s="3">
        <v>0</v>
      </c>
      <c r="M172" s="4">
        <f>K172*L172</f>
        <v>0</v>
      </c>
      <c r="N172" s="4">
        <v>0</v>
      </c>
      <c r="O172" s="4">
        <f>K172-M172+N172</f>
        <v>792</v>
      </c>
      <c r="P172" t="s">
        <v>43</v>
      </c>
      <c r="Q172" t="b">
        <v>0</v>
      </c>
      <c r="R172" t="s">
        <v>44</v>
      </c>
      <c r="S172" t="s">
        <v>45</v>
      </c>
      <c r="T172" t="s">
        <v>46</v>
      </c>
      <c r="U172" t="s">
        <v>39</v>
      </c>
      <c r="V172" t="s">
        <v>38</v>
      </c>
      <c r="W172" t="s">
        <v>410</v>
      </c>
      <c r="X172" t="s">
        <v>0</v>
      </c>
      <c r="Y172">
        <v>9007199254741161</v>
      </c>
      <c r="Z172">
        <v>0</v>
      </c>
      <c r="AA172" t="s">
        <v>38</v>
      </c>
      <c r="AB172" t="b">
        <v>0</v>
      </c>
      <c r="AD172" s="3">
        <v>0.125</v>
      </c>
      <c r="AE172" s="2">
        <v>45902.5</v>
      </c>
      <c r="AF172" t="s">
        <v>60</v>
      </c>
    </row>
    <row r="173">
      <c r="A173" t="s">
        <v>411</v>
      </c>
      <c r="B173" s="2">
        <v>45901.5</v>
      </c>
      <c r="C173" t="s">
        <v>49</v>
      </c>
      <c r="D173" t="s">
        <f>'客户档案'!B4</f>
        <v>50</v>
      </c>
      <c r="E173" t="s">
        <v>51</v>
      </c>
      <c r="F173" t="s">
        <v>52</v>
      </c>
      <c r="G173" t="s">
        <f>'商品目录'!B4</f>
        <v>53</v>
      </c>
      <c r="H173" t="s">
        <v>54</v>
      </c>
      <c r="I173">
        <v>10</v>
      </c>
      <c r="J173" s="4">
        <v>129</v>
      </c>
      <c r="K173" s="4">
        <f>I173*J173</f>
        <v>1290</v>
      </c>
      <c r="L173" s="3">
        <v>0.5</v>
      </c>
      <c r="M173" s="4">
        <f>K173*L173</f>
        <v>645</v>
      </c>
      <c r="N173" s="4">
        <v>10</v>
      </c>
      <c r="O173" s="4">
        <f>K173-M173+N173</f>
        <v>655</v>
      </c>
      <c r="P173" t="s">
        <v>43</v>
      </c>
      <c r="Q173" t="b">
        <v>1</v>
      </c>
      <c r="R173" t="s">
        <v>55</v>
      </c>
      <c r="S173" t="s">
        <v>56</v>
      </c>
      <c r="T173" t="s">
        <v>57</v>
      </c>
      <c r="U173" t="s">
        <v>51</v>
      </c>
      <c r="V173" t="s">
        <v>50</v>
      </c>
      <c r="W173" t="s">
        <v>412</v>
      </c>
      <c r="X173" t="s">
        <v>59</v>
      </c>
      <c r="Y173">
        <v>9007199254741162</v>
      </c>
      <c r="Z173">
        <v>0</v>
      </c>
      <c r="AA173" t="s">
        <v>50</v>
      </c>
      <c r="AB173" t="b">
        <v>1</v>
      </c>
      <c r="AD173" s="3">
        <v>0.125</v>
      </c>
      <c r="AE173" s="2">
        <v>45903.5</v>
      </c>
      <c r="AF173" t="s">
        <v>60</v>
      </c>
    </row>
    <row r="174">
      <c r="A174" t="s">
        <v>413</v>
      </c>
      <c r="B174" s="2">
        <v>45902.5</v>
      </c>
      <c r="C174" t="s">
        <v>62</v>
      </c>
      <c r="D174" t="s">
        <f>'客户档案'!B5</f>
        <v>63</v>
      </c>
      <c r="E174" t="s">
        <v>64</v>
      </c>
      <c r="F174" t="s">
        <v>65</v>
      </c>
      <c r="G174" t="s">
        <f>'商品目录'!B5</f>
        <v>66</v>
      </c>
      <c r="H174" t="s">
        <v>67</v>
      </c>
      <c r="I174">
        <v>2</v>
      </c>
      <c r="J174" s="4">
        <v>45</v>
      </c>
      <c r="K174" s="4">
        <f>I174*J174</f>
        <v>90</v>
      </c>
      <c r="L174" s="3">
        <v>0</v>
      </c>
      <c r="M174" s="4">
        <f>K174*L174</f>
        <v>0</v>
      </c>
      <c r="N174" s="4">
        <v>20</v>
      </c>
      <c r="O174" s="4">
        <f>K174-M174+N174</f>
        <v>110</v>
      </c>
      <c r="P174" t="s">
        <v>43</v>
      </c>
      <c r="Q174" t="b">
        <v>1</v>
      </c>
      <c r="R174" t="s">
        <v>55</v>
      </c>
      <c r="S174" t="s">
        <v>68</v>
      </c>
      <c r="T174" t="s">
        <v>69</v>
      </c>
      <c r="U174" t="s">
        <v>70</v>
      </c>
      <c r="V174" t="s">
        <v>63</v>
      </c>
      <c r="W174" t="s">
        <v>414</v>
      </c>
      <c r="X174" t="s">
        <v>72</v>
      </c>
      <c r="Y174">
        <v>9007199254741163</v>
      </c>
      <c r="Z174">
        <v>2</v>
      </c>
      <c r="AA174" t="s">
        <v>63</v>
      </c>
      <c r="AB174" t="b">
        <v>0</v>
      </c>
      <c r="AD174" s="3">
        <v>0.125</v>
      </c>
      <c r="AE174" s="2">
        <v>45904.5</v>
      </c>
      <c r="AF174" t="s">
        <v>60</v>
      </c>
    </row>
    <row r="175">
      <c r="A175" t="s">
        <v>415</v>
      </c>
      <c r="B175" s="2">
        <v>45903.5</v>
      </c>
      <c r="C175" t="s">
        <v>37</v>
      </c>
      <c r="D175" t="s">
        <f>'客户档案'!B3</f>
        <v>38</v>
      </c>
      <c r="E175" t="s">
        <v>74</v>
      </c>
      <c r="F175" t="s">
        <v>75</v>
      </c>
      <c r="G175" t="s">
        <f>'商品目录'!B6</f>
        <v>76</v>
      </c>
      <c r="H175" t="s">
        <v>77</v>
      </c>
      <c r="I175">
        <v>4</v>
      </c>
      <c r="J175" s="4">
        <v>8</v>
      </c>
      <c r="K175" s="4">
        <f>I175*J175</f>
        <v>32</v>
      </c>
      <c r="L175" s="3">
        <v>0.5</v>
      </c>
      <c r="M175" s="4">
        <f>K175*L175</f>
        <v>16</v>
      </c>
      <c r="N175" s="4">
        <v>0</v>
      </c>
      <c r="O175" s="4">
        <f>K175-M175+N175</f>
        <v>16</v>
      </c>
      <c r="P175" t="s">
        <v>43</v>
      </c>
      <c r="Q175" t="b">
        <v>1</v>
      </c>
      <c r="R175" t="s">
        <v>55</v>
      </c>
      <c r="S175" t="s">
        <v>45</v>
      </c>
      <c r="T175" t="s">
        <v>46</v>
      </c>
      <c r="U175" t="s">
        <v>78</v>
      </c>
      <c r="V175" t="s">
        <v>38</v>
      </c>
      <c r="W175" t="s">
        <v>416</v>
      </c>
      <c r="X175" t="s">
        <v>80</v>
      </c>
      <c r="Y175">
        <v>9007199254741164</v>
      </c>
      <c r="Z175">
        <v>0</v>
      </c>
      <c r="AA175" t="s">
        <v>38</v>
      </c>
      <c r="AB175" t="b">
        <v>1</v>
      </c>
      <c r="AD175" s="3">
        <v>0.125</v>
      </c>
      <c r="AE175" s="2">
        <v>45905.5</v>
      </c>
      <c r="AF175" t="s">
        <v>60</v>
      </c>
    </row>
    <row r="176">
      <c r="A176" t="s">
        <v>417</v>
      </c>
      <c r="B176" s="2">
        <v>45904.5</v>
      </c>
      <c r="C176" t="s">
        <v>49</v>
      </c>
      <c r="D176" t="s">
        <f>'客户档案'!B4</f>
        <v>50</v>
      </c>
      <c r="E176" t="s">
        <v>39</v>
      </c>
      <c r="F176" t="s">
        <v>40</v>
      </c>
      <c r="G176" t="s">
        <f>'商品目录'!B3</f>
        <v>41</v>
      </c>
      <c r="H176" t="s">
        <v>42</v>
      </c>
      <c r="I176">
        <v>6</v>
      </c>
      <c r="J176" s="4">
        <v>99</v>
      </c>
      <c r="K176" s="4">
        <f>I176*J176</f>
        <v>594</v>
      </c>
      <c r="L176" s="3">
        <v>0</v>
      </c>
      <c r="M176" s="4">
        <f>K176*L176</f>
        <v>0</v>
      </c>
      <c r="N176" s="4">
        <v>10</v>
      </c>
      <c r="O176" s="4">
        <f>K176-M176+N176</f>
        <v>604</v>
      </c>
      <c r="P176" t="s">
        <v>43</v>
      </c>
      <c r="Q176" t="b">
        <v>0</v>
      </c>
      <c r="R176" t="s">
        <v>44</v>
      </c>
      <c r="S176" t="s">
        <v>56</v>
      </c>
      <c r="T176" t="s">
        <v>57</v>
      </c>
      <c r="U176" t="s">
        <v>39</v>
      </c>
      <c r="V176" t="s">
        <v>50</v>
      </c>
      <c r="W176" t="s">
        <v>418</v>
      </c>
      <c r="X176" t="s">
        <v>0</v>
      </c>
      <c r="Y176">
        <v>9007199254741165</v>
      </c>
      <c r="Z176">
        <v>0</v>
      </c>
      <c r="AA176" t="s">
        <v>50</v>
      </c>
      <c r="AB176" t="b">
        <v>0</v>
      </c>
      <c r="AD176" s="3">
        <v>0.125</v>
      </c>
      <c r="AE176" s="2">
        <v>45906.5</v>
      </c>
      <c r="AF176" t="s">
        <v>60</v>
      </c>
    </row>
    <row r="177">
      <c r="A177" t="s">
        <v>419</v>
      </c>
      <c r="B177" s="2">
        <v>45905.5</v>
      </c>
      <c r="C177" t="s">
        <v>62</v>
      </c>
      <c r="D177" t="s">
        <f>'客户档案'!B5</f>
        <v>63</v>
      </c>
      <c r="E177" t="s">
        <v>51</v>
      </c>
      <c r="F177" t="s">
        <v>52</v>
      </c>
      <c r="G177" t="s">
        <f>'商品目录'!B4</f>
        <v>53</v>
      </c>
      <c r="H177" t="s">
        <v>54</v>
      </c>
      <c r="I177">
        <v>8</v>
      </c>
      <c r="J177" s="4">
        <v>129</v>
      </c>
      <c r="K177" s="4">
        <f>I177*J177</f>
        <v>1032</v>
      </c>
      <c r="L177" s="3">
        <v>0.5</v>
      </c>
      <c r="M177" s="4">
        <f>K177*L177</f>
        <v>516</v>
      </c>
      <c r="N177" s="4">
        <v>20</v>
      </c>
      <c r="O177" s="4">
        <f>K177-M177+N177</f>
        <v>536</v>
      </c>
      <c r="P177" t="s">
        <v>43</v>
      </c>
      <c r="Q177" t="b">
        <v>1</v>
      </c>
      <c r="R177" t="s">
        <v>55</v>
      </c>
      <c r="S177" t="s">
        <v>68</v>
      </c>
      <c r="T177" t="s">
        <v>69</v>
      </c>
      <c r="U177" t="s">
        <v>51</v>
      </c>
      <c r="V177" t="s">
        <v>63</v>
      </c>
      <c r="W177" t="s">
        <v>420</v>
      </c>
      <c r="X177" t="s">
        <v>59</v>
      </c>
      <c r="Y177">
        <v>9007199254741166</v>
      </c>
      <c r="Z177">
        <v>0</v>
      </c>
      <c r="AA177" t="s">
        <v>63</v>
      </c>
      <c r="AB177" t="b">
        <v>1</v>
      </c>
      <c r="AD177" s="3">
        <v>0.125</v>
      </c>
      <c r="AE177" s="2">
        <v>45907.5</v>
      </c>
      <c r="AF177" t="s">
        <v>60</v>
      </c>
    </row>
    <row r="178">
      <c r="A178" t="s">
        <v>421</v>
      </c>
      <c r="B178" s="2">
        <v>45906.5</v>
      </c>
      <c r="C178" t="s">
        <v>37</v>
      </c>
      <c r="D178" t="s">
        <f>'客户档案'!B3</f>
        <v>38</v>
      </c>
      <c r="E178" t="s">
        <v>64</v>
      </c>
      <c r="F178" t="s">
        <v>65</v>
      </c>
      <c r="G178" t="s">
        <f>'商品目录'!B5</f>
        <v>66</v>
      </c>
      <c r="H178" t="s">
        <v>67</v>
      </c>
      <c r="I178">
        <v>10</v>
      </c>
      <c r="J178" s="4">
        <v>45</v>
      </c>
      <c r="K178" s="4">
        <f>I178*J178</f>
        <v>450</v>
      </c>
      <c r="L178" s="3">
        <v>0</v>
      </c>
      <c r="M178" s="4">
        <f>K178*L178</f>
        <v>0</v>
      </c>
      <c r="N178" s="4">
        <v>0</v>
      </c>
      <c r="O178" s="4">
        <f>K178-M178+N178</f>
        <v>450</v>
      </c>
      <c r="P178" t="s">
        <v>43</v>
      </c>
      <c r="Q178" t="b">
        <v>1</v>
      </c>
      <c r="R178" t="s">
        <v>55</v>
      </c>
      <c r="S178" t="s">
        <v>45</v>
      </c>
      <c r="T178" t="s">
        <v>46</v>
      </c>
      <c r="U178" t="s">
        <v>70</v>
      </c>
      <c r="V178" t="s">
        <v>38</v>
      </c>
      <c r="W178" t="s">
        <v>422</v>
      </c>
      <c r="X178" t="s">
        <v>72</v>
      </c>
      <c r="Y178">
        <v>9007199254741167</v>
      </c>
      <c r="Z178">
        <v>0</v>
      </c>
      <c r="AA178" t="s">
        <v>38</v>
      </c>
      <c r="AB178" t="b">
        <v>0</v>
      </c>
      <c r="AD178" s="3">
        <v>0.125</v>
      </c>
      <c r="AE178" s="2">
        <v>45908.5</v>
      </c>
      <c r="AF178" t="s">
        <v>60</v>
      </c>
    </row>
    <row r="179">
      <c r="A179" t="s">
        <v>423</v>
      </c>
      <c r="B179" s="2">
        <v>45907.5</v>
      </c>
      <c r="C179" t="s">
        <v>49</v>
      </c>
      <c r="D179" t="s">
        <f>'客户档案'!B4</f>
        <v>50</v>
      </c>
      <c r="E179" t="s">
        <v>74</v>
      </c>
      <c r="F179" t="s">
        <v>75</v>
      </c>
      <c r="G179" t="s">
        <f>'商品目录'!B6</f>
        <v>76</v>
      </c>
      <c r="H179" t="s">
        <v>77</v>
      </c>
      <c r="I179">
        <v>2</v>
      </c>
      <c r="J179" s="4">
        <v>8</v>
      </c>
      <c r="K179" s="4">
        <f>I179*J179</f>
        <v>16</v>
      </c>
      <c r="L179" s="3">
        <v>0.5</v>
      </c>
      <c r="M179" s="4">
        <f>K179*L179</f>
        <v>8</v>
      </c>
      <c r="N179" s="4">
        <v>10</v>
      </c>
      <c r="O179" s="4">
        <f>K179-M179+N179</f>
        <v>18</v>
      </c>
      <c r="P179" t="s">
        <v>43</v>
      </c>
      <c r="Q179" t="b">
        <v>1</v>
      </c>
      <c r="R179" t="s">
        <v>55</v>
      </c>
      <c r="S179" t="s">
        <v>56</v>
      </c>
      <c r="T179" t="s">
        <v>57</v>
      </c>
      <c r="U179" t="s">
        <v>78</v>
      </c>
      <c r="V179" t="s">
        <v>50</v>
      </c>
      <c r="W179" t="s">
        <v>424</v>
      </c>
      <c r="X179" t="s">
        <v>80</v>
      </c>
      <c r="Y179">
        <v>9007199254741168</v>
      </c>
      <c r="Z179">
        <v>0</v>
      </c>
      <c r="AA179" t="s">
        <v>50</v>
      </c>
      <c r="AB179" t="b">
        <v>1</v>
      </c>
      <c r="AD179" s="3">
        <v>0.125</v>
      </c>
      <c r="AE179" s="2">
        <v>45909.5</v>
      </c>
      <c r="AF179" t="s">
        <v>60</v>
      </c>
    </row>
    <row r="180">
      <c r="A180" t="s">
        <v>425</v>
      </c>
      <c r="B180" s="2">
        <v>45908.5</v>
      </c>
      <c r="C180" t="s">
        <v>62</v>
      </c>
      <c r="D180" t="s">
        <f>'客户档案'!B5</f>
        <v>63</v>
      </c>
      <c r="E180" t="s">
        <v>39</v>
      </c>
      <c r="F180" t="s">
        <v>40</v>
      </c>
      <c r="G180" t="s">
        <f>'商品目录'!B3</f>
        <v>41</v>
      </c>
      <c r="H180" t="s">
        <v>42</v>
      </c>
      <c r="I180">
        <v>4</v>
      </c>
      <c r="J180" s="4">
        <v>99</v>
      </c>
      <c r="K180" s="4">
        <f>I180*J180</f>
        <v>396</v>
      </c>
      <c r="L180" s="3">
        <v>0</v>
      </c>
      <c r="M180" s="4">
        <f>K180*L180</f>
        <v>0</v>
      </c>
      <c r="N180" s="4">
        <v>20</v>
      </c>
      <c r="O180" s="4">
        <f>K180-M180+N180</f>
        <v>416</v>
      </c>
      <c r="P180" t="s">
        <v>43</v>
      </c>
      <c r="Q180" t="b">
        <v>0</v>
      </c>
      <c r="R180" t="s">
        <v>44</v>
      </c>
      <c r="S180" t="s">
        <v>68</v>
      </c>
      <c r="T180" t="s">
        <v>69</v>
      </c>
      <c r="U180" t="s">
        <v>39</v>
      </c>
      <c r="V180" t="s">
        <v>63</v>
      </c>
      <c r="W180" t="s">
        <v>426</v>
      </c>
      <c r="X180" t="s">
        <v>0</v>
      </c>
      <c r="Y180">
        <v>9007199254741169</v>
      </c>
      <c r="Z180">
        <v>0</v>
      </c>
      <c r="AA180" t="s">
        <v>63</v>
      </c>
      <c r="AB180" t="b">
        <v>0</v>
      </c>
      <c r="AD180" s="3">
        <v>0.125</v>
      </c>
      <c r="AE180" s="2">
        <v>45910.5</v>
      </c>
      <c r="AF180" t="s">
        <v>60</v>
      </c>
    </row>
    <row r="181">
      <c r="A181" t="s">
        <v>427</v>
      </c>
      <c r="B181" s="2">
        <v>45909.5</v>
      </c>
      <c r="C181" t="s">
        <v>37</v>
      </c>
      <c r="D181" t="s">
        <f>'客户档案'!B3</f>
        <v>38</v>
      </c>
      <c r="E181" t="s">
        <v>51</v>
      </c>
      <c r="F181" t="s">
        <v>52</v>
      </c>
      <c r="G181" t="s">
        <f>'商品目录'!B4</f>
        <v>53</v>
      </c>
      <c r="H181" t="s">
        <v>54</v>
      </c>
      <c r="I181">
        <v>6</v>
      </c>
      <c r="J181" s="4">
        <v>129</v>
      </c>
      <c r="K181" s="4">
        <f>I181*J181</f>
        <v>774</v>
      </c>
      <c r="L181" s="3">
        <v>0.5</v>
      </c>
      <c r="M181" s="4">
        <f>K181*L181</f>
        <v>387</v>
      </c>
      <c r="N181" s="4">
        <v>0</v>
      </c>
      <c r="O181" s="4">
        <f>K181-M181+N181</f>
        <v>387</v>
      </c>
      <c r="P181" t="s">
        <v>43</v>
      </c>
      <c r="Q181" t="b">
        <v>1</v>
      </c>
      <c r="R181" t="s">
        <v>55</v>
      </c>
      <c r="S181" t="s">
        <v>45</v>
      </c>
      <c r="T181" t="s">
        <v>46</v>
      </c>
      <c r="U181" t="s">
        <v>51</v>
      </c>
      <c r="V181" t="s">
        <v>38</v>
      </c>
      <c r="W181" t="s">
        <v>428</v>
      </c>
      <c r="X181" t="s">
        <v>59</v>
      </c>
      <c r="Y181">
        <v>9007199254741170</v>
      </c>
      <c r="Z181">
        <v>0</v>
      </c>
      <c r="AA181" t="s">
        <v>38</v>
      </c>
      <c r="AB181" t="b">
        <v>1</v>
      </c>
      <c r="AD181" s="3">
        <v>0.125</v>
      </c>
      <c r="AE181" s="2">
        <v>45911.5</v>
      </c>
      <c r="AF181" t="s">
        <v>60</v>
      </c>
    </row>
    <row r="182">
      <c r="A182" t="s">
        <v>429</v>
      </c>
      <c r="B182" s="2">
        <v>45910.5</v>
      </c>
      <c r="C182" t="s">
        <v>49</v>
      </c>
      <c r="D182" t="s">
        <f>'客户档案'!B4</f>
        <v>50</v>
      </c>
      <c r="E182" t="s">
        <v>64</v>
      </c>
      <c r="F182" t="s">
        <v>65</v>
      </c>
      <c r="G182" t="s">
        <f>'商品目录'!B5</f>
        <v>66</v>
      </c>
      <c r="H182" t="s">
        <v>67</v>
      </c>
      <c r="I182">
        <v>8</v>
      </c>
      <c r="J182" s="4">
        <v>45</v>
      </c>
      <c r="K182" s="4">
        <f>I182*J182</f>
        <v>360</v>
      </c>
      <c r="L182" s="3">
        <v>0</v>
      </c>
      <c r="M182" s="4">
        <f>K182*L182</f>
        <v>0</v>
      </c>
      <c r="N182" s="4">
        <v>10</v>
      </c>
      <c r="O182" s="4">
        <f>K182-M182+N182</f>
        <v>370</v>
      </c>
      <c r="P182" t="s">
        <v>43</v>
      </c>
      <c r="Q182" t="b">
        <v>1</v>
      </c>
      <c r="R182" t="s">
        <v>55</v>
      </c>
      <c r="S182" t="s">
        <v>56</v>
      </c>
      <c r="T182" t="s">
        <v>57</v>
      </c>
      <c r="U182" t="s">
        <v>70</v>
      </c>
      <c r="V182" t="s">
        <v>50</v>
      </c>
      <c r="W182" t="s">
        <v>430</v>
      </c>
      <c r="X182" t="s">
        <v>72</v>
      </c>
      <c r="Y182">
        <v>9007199254741171</v>
      </c>
      <c r="Z182">
        <v>0</v>
      </c>
      <c r="AA182" t="s">
        <v>50</v>
      </c>
      <c r="AB182" t="b">
        <v>0</v>
      </c>
      <c r="AD182" s="3">
        <v>0.125</v>
      </c>
      <c r="AE182" s="2">
        <v>45912.5</v>
      </c>
      <c r="AF182" t="s">
        <v>60</v>
      </c>
    </row>
    <row r="183">
      <c r="A183" t="s">
        <v>431</v>
      </c>
      <c r="B183" s="2">
        <v>45911.5</v>
      </c>
      <c r="C183" t="s">
        <v>62</v>
      </c>
      <c r="D183" t="s">
        <f>'客户档案'!B5</f>
        <v>63</v>
      </c>
      <c r="E183" t="s">
        <v>74</v>
      </c>
      <c r="F183" t="s">
        <v>75</v>
      </c>
      <c r="G183" t="s">
        <f>'商品目录'!B6</f>
        <v>76</v>
      </c>
      <c r="H183" t="s">
        <v>77</v>
      </c>
      <c r="I183">
        <v>10</v>
      </c>
      <c r="J183" s="4">
        <v>8</v>
      </c>
      <c r="K183" s="4">
        <f>I183*J183</f>
        <v>80</v>
      </c>
      <c r="L183" s="3">
        <v>0.5</v>
      </c>
      <c r="M183" s="4">
        <f>K183*L183</f>
        <v>40</v>
      </c>
      <c r="N183" s="4">
        <v>20</v>
      </c>
      <c r="O183" s="4">
        <f>K183-M183+N183</f>
        <v>60</v>
      </c>
      <c r="P183" t="s">
        <v>43</v>
      </c>
      <c r="Q183" t="b">
        <v>1</v>
      </c>
      <c r="R183" t="s">
        <v>55</v>
      </c>
      <c r="S183" t="s">
        <v>68</v>
      </c>
      <c r="T183" t="s">
        <v>69</v>
      </c>
      <c r="U183" t="s">
        <v>78</v>
      </c>
      <c r="V183" t="s">
        <v>63</v>
      </c>
      <c r="W183" t="s">
        <v>432</v>
      </c>
      <c r="X183" t="s">
        <v>80</v>
      </c>
      <c r="Y183">
        <v>9007199254741172</v>
      </c>
      <c r="Z183">
        <v>0</v>
      </c>
      <c r="AA183" t="s">
        <v>63</v>
      </c>
      <c r="AB183" t="b">
        <v>1</v>
      </c>
      <c r="AD183" s="3">
        <v>0.125</v>
      </c>
      <c r="AE183" s="2">
        <v>45913.5</v>
      </c>
      <c r="AF183" t="s">
        <v>60</v>
      </c>
    </row>
    <row r="184">
      <c r="A184" t="s">
        <v>433</v>
      </c>
      <c r="B184" s="2">
        <v>45912.5</v>
      </c>
      <c r="C184" t="s">
        <v>37</v>
      </c>
      <c r="D184" t="s">
        <f>'客户档案'!B3</f>
        <v>38</v>
      </c>
      <c r="E184" t="s">
        <v>39</v>
      </c>
      <c r="F184" t="s">
        <v>40</v>
      </c>
      <c r="G184" t="s">
        <f>'商品目录'!B3</f>
        <v>41</v>
      </c>
      <c r="H184" t="s">
        <v>42</v>
      </c>
      <c r="I184">
        <v>2</v>
      </c>
      <c r="J184" s="4">
        <v>99</v>
      </c>
      <c r="K184" s="4">
        <f>I184*J184</f>
        <v>198</v>
      </c>
      <c r="L184" s="3">
        <v>0</v>
      </c>
      <c r="M184" s="4">
        <f>K184*L184</f>
        <v>0</v>
      </c>
      <c r="N184" s="4">
        <v>0</v>
      </c>
      <c r="O184" s="4">
        <f>K184-M184+N184</f>
        <v>198</v>
      </c>
      <c r="P184" t="s">
        <v>43</v>
      </c>
      <c r="Q184" t="b">
        <v>0</v>
      </c>
      <c r="R184" t="s">
        <v>44</v>
      </c>
      <c r="S184" t="s">
        <v>45</v>
      </c>
      <c r="T184" t="s">
        <v>46</v>
      </c>
      <c r="U184" t="s">
        <v>39</v>
      </c>
      <c r="V184" t="s">
        <v>38</v>
      </c>
      <c r="W184" t="s">
        <v>434</v>
      </c>
      <c r="X184" t="s">
        <v>0</v>
      </c>
      <c r="Y184">
        <v>9007199254741173</v>
      </c>
      <c r="Z184">
        <v>0</v>
      </c>
      <c r="AA184" t="s">
        <v>38</v>
      </c>
      <c r="AB184" t="b">
        <v>0</v>
      </c>
      <c r="AD184" s="3">
        <v>0.125</v>
      </c>
      <c r="AE184" s="2">
        <v>45914.5</v>
      </c>
      <c r="AF184" t="s">
        <v>60</v>
      </c>
    </row>
    <row r="185">
      <c r="A185" t="s">
        <v>435</v>
      </c>
      <c r="B185" s="2">
        <v>45913.5</v>
      </c>
      <c r="C185" t="s">
        <v>49</v>
      </c>
      <c r="D185" t="s">
        <f>'客户档案'!B4</f>
        <v>50</v>
      </c>
      <c r="E185" t="s">
        <v>51</v>
      </c>
      <c r="F185" t="s">
        <v>52</v>
      </c>
      <c r="G185" t="s">
        <f>'商品目录'!B4</f>
        <v>53</v>
      </c>
      <c r="H185" t="s">
        <v>54</v>
      </c>
      <c r="I185">
        <v>4</v>
      </c>
      <c r="J185" s="4">
        <v>129</v>
      </c>
      <c r="K185" s="4">
        <f>I185*J185</f>
        <v>516</v>
      </c>
      <c r="L185" s="3">
        <v>0.5</v>
      </c>
      <c r="M185" s="4">
        <f>K185*L185</f>
        <v>258</v>
      </c>
      <c r="N185" s="4">
        <v>10</v>
      </c>
      <c r="O185" s="4">
        <f>K185-M185+N185</f>
        <v>268</v>
      </c>
      <c r="P185" t="s">
        <v>43</v>
      </c>
      <c r="Q185" t="b">
        <v>1</v>
      </c>
      <c r="R185" t="s">
        <v>55</v>
      </c>
      <c r="S185" t="s">
        <v>56</v>
      </c>
      <c r="T185" t="s">
        <v>57</v>
      </c>
      <c r="U185" t="s">
        <v>51</v>
      </c>
      <c r="V185" t="s">
        <v>50</v>
      </c>
      <c r="W185" t="s">
        <v>436</v>
      </c>
      <c r="X185" t="s">
        <v>59</v>
      </c>
      <c r="Y185">
        <v>9007199254741174</v>
      </c>
      <c r="Z185">
        <v>0</v>
      </c>
      <c r="AA185" t="s">
        <v>50</v>
      </c>
      <c r="AB185" t="b">
        <v>1</v>
      </c>
      <c r="AD185" s="3">
        <v>0.125</v>
      </c>
      <c r="AE185" s="2">
        <v>45915.5</v>
      </c>
      <c r="AF185" t="s">
        <v>60</v>
      </c>
    </row>
    <row r="186">
      <c r="A186" t="s">
        <v>437</v>
      </c>
      <c r="B186" s="2">
        <v>45914.5</v>
      </c>
      <c r="C186" t="s">
        <v>62</v>
      </c>
      <c r="D186" t="s">
        <f>'客户档案'!B5</f>
        <v>63</v>
      </c>
      <c r="E186" t="s">
        <v>64</v>
      </c>
      <c r="F186" t="s">
        <v>65</v>
      </c>
      <c r="G186" t="s">
        <f>'商品目录'!B5</f>
        <v>66</v>
      </c>
      <c r="H186" t="s">
        <v>67</v>
      </c>
      <c r="I186">
        <v>6</v>
      </c>
      <c r="J186" s="4">
        <v>45</v>
      </c>
      <c r="K186" s="4">
        <f>I186*J186</f>
        <v>270</v>
      </c>
      <c r="L186" s="3">
        <v>0</v>
      </c>
      <c r="M186" s="4">
        <f>K186*L186</f>
        <v>0</v>
      </c>
      <c r="N186" s="4">
        <v>20</v>
      </c>
      <c r="O186" s="4">
        <f>K186-M186+N186</f>
        <v>290</v>
      </c>
      <c r="P186" t="s">
        <v>43</v>
      </c>
      <c r="Q186" t="b">
        <v>1</v>
      </c>
      <c r="R186" t="s">
        <v>55</v>
      </c>
      <c r="S186" t="s">
        <v>68</v>
      </c>
      <c r="T186" t="s">
        <v>69</v>
      </c>
      <c r="U186" t="s">
        <v>70</v>
      </c>
      <c r="V186" t="s">
        <v>63</v>
      </c>
      <c r="W186" t="s">
        <v>438</v>
      </c>
      <c r="X186" t="s">
        <v>72</v>
      </c>
      <c r="Y186">
        <v>9007199254741175</v>
      </c>
      <c r="Z186">
        <v>0</v>
      </c>
      <c r="AA186" t="s">
        <v>63</v>
      </c>
      <c r="AB186" t="b">
        <v>0</v>
      </c>
      <c r="AD186" s="3">
        <v>0.125</v>
      </c>
      <c r="AE186" s="2">
        <v>45916.5</v>
      </c>
      <c r="AF186" t="s">
        <v>60</v>
      </c>
    </row>
    <row r="187">
      <c r="A187" t="s">
        <v>439</v>
      </c>
      <c r="B187" s="2">
        <v>45915.5</v>
      </c>
      <c r="C187" t="s">
        <v>37</v>
      </c>
      <c r="D187" t="s">
        <f>'客户档案'!B3</f>
        <v>38</v>
      </c>
      <c r="E187" t="s">
        <v>74</v>
      </c>
      <c r="F187" t="s">
        <v>75</v>
      </c>
      <c r="G187" t="s">
        <f>'商品目录'!B6</f>
        <v>76</v>
      </c>
      <c r="H187" t="s">
        <v>77</v>
      </c>
      <c r="I187">
        <v>8</v>
      </c>
      <c r="J187" s="4">
        <v>8</v>
      </c>
      <c r="K187" s="4">
        <f>I187*J187</f>
        <v>64</v>
      </c>
      <c r="L187" s="3">
        <v>0.5</v>
      </c>
      <c r="M187" s="4">
        <f>K187*L187</f>
        <v>32</v>
      </c>
      <c r="N187" s="4">
        <v>0</v>
      </c>
      <c r="O187" s="4">
        <f>K187-M187+N187</f>
        <v>32</v>
      </c>
      <c r="P187" t="s">
        <v>43</v>
      </c>
      <c r="Q187" t="b">
        <v>1</v>
      </c>
      <c r="R187" t="s">
        <v>55</v>
      </c>
      <c r="S187" t="s">
        <v>45</v>
      </c>
      <c r="T187" t="s">
        <v>46</v>
      </c>
      <c r="U187" t="s">
        <v>78</v>
      </c>
      <c r="V187" t="s">
        <v>38</v>
      </c>
      <c r="W187" t="s">
        <v>440</v>
      </c>
      <c r="X187" t="s">
        <v>80</v>
      </c>
      <c r="Y187">
        <v>9007199254741176</v>
      </c>
      <c r="Z187">
        <v>0</v>
      </c>
      <c r="AA187" t="s">
        <v>38</v>
      </c>
      <c r="AB187" t="b">
        <v>1</v>
      </c>
      <c r="AD187" s="3">
        <v>0.125</v>
      </c>
      <c r="AE187" s="2">
        <v>45917.5</v>
      </c>
      <c r="AF187" t="s">
        <v>60</v>
      </c>
    </row>
    <row r="188">
      <c r="A188" t="s">
        <v>441</v>
      </c>
      <c r="B188" s="2">
        <v>45916.5</v>
      </c>
      <c r="C188" t="s">
        <v>49</v>
      </c>
      <c r="D188" t="s">
        <f>'客户档案'!B4</f>
        <v>50</v>
      </c>
      <c r="E188" t="s">
        <v>39</v>
      </c>
      <c r="F188" t="s">
        <v>40</v>
      </c>
      <c r="G188" t="s">
        <f>'商品目录'!B3</f>
        <v>41</v>
      </c>
      <c r="H188" t="s">
        <v>42</v>
      </c>
      <c r="I188">
        <v>10</v>
      </c>
      <c r="J188" s="4">
        <v>99</v>
      </c>
      <c r="K188" s="4">
        <f>I188*J188</f>
        <v>990</v>
      </c>
      <c r="L188" s="3">
        <v>0</v>
      </c>
      <c r="M188" s="4">
        <f>K188*L188</f>
        <v>0</v>
      </c>
      <c r="N188" s="4">
        <v>10</v>
      </c>
      <c r="O188" s="4">
        <f>K188-M188+N188</f>
        <v>1000</v>
      </c>
      <c r="P188" t="s">
        <v>43</v>
      </c>
      <c r="Q188" t="b">
        <v>0</v>
      </c>
      <c r="R188" t="s">
        <v>44</v>
      </c>
      <c r="S188" t="s">
        <v>56</v>
      </c>
      <c r="T188" t="s">
        <v>57</v>
      </c>
      <c r="U188" t="s">
        <v>39</v>
      </c>
      <c r="V188" t="s">
        <v>50</v>
      </c>
      <c r="W188" t="s">
        <v>442</v>
      </c>
      <c r="X188" t="s">
        <v>0</v>
      </c>
      <c r="Y188">
        <v>9007199254741177</v>
      </c>
      <c r="Z188">
        <v>0</v>
      </c>
      <c r="AA188" t="s">
        <v>50</v>
      </c>
      <c r="AB188" t="b">
        <v>0</v>
      </c>
      <c r="AD188" s="3">
        <v>0.125</v>
      </c>
      <c r="AE188" s="2">
        <v>45918.5</v>
      </c>
      <c r="AF188" t="s">
        <v>60</v>
      </c>
    </row>
    <row r="189">
      <c r="A189" t="s">
        <v>443</v>
      </c>
      <c r="B189" s="2">
        <v>45917.5</v>
      </c>
      <c r="C189" t="s">
        <v>62</v>
      </c>
      <c r="D189" t="s">
        <f>'客户档案'!B5</f>
        <v>63</v>
      </c>
      <c r="E189" t="s">
        <v>51</v>
      </c>
      <c r="F189" t="s">
        <v>52</v>
      </c>
      <c r="G189" t="s">
        <f>'商品目录'!B4</f>
        <v>53</v>
      </c>
      <c r="H189" t="s">
        <v>54</v>
      </c>
      <c r="I189">
        <v>2</v>
      </c>
      <c r="J189" s="4">
        <v>129</v>
      </c>
      <c r="K189" s="4">
        <f>I189*J189</f>
        <v>258</v>
      </c>
      <c r="L189" s="3">
        <v>0.5</v>
      </c>
      <c r="M189" s="4">
        <f>K189*L189</f>
        <v>129</v>
      </c>
      <c r="N189" s="4">
        <v>20</v>
      </c>
      <c r="O189" s="4">
        <f>K189-M189+N189</f>
        <v>149</v>
      </c>
      <c r="P189" t="s">
        <v>43</v>
      </c>
      <c r="Q189" t="b">
        <v>1</v>
      </c>
      <c r="R189" t="s">
        <v>55</v>
      </c>
      <c r="S189" t="s">
        <v>68</v>
      </c>
      <c r="T189" t="s">
        <v>69</v>
      </c>
      <c r="U189" t="s">
        <v>51</v>
      </c>
      <c r="V189" t="s">
        <v>63</v>
      </c>
      <c r="W189" t="s">
        <v>444</v>
      </c>
      <c r="X189" t="s">
        <v>59</v>
      </c>
      <c r="Y189">
        <v>9007199254741178</v>
      </c>
      <c r="Z189">
        <v>0</v>
      </c>
      <c r="AA189" t="s">
        <v>63</v>
      </c>
      <c r="AB189" t="b">
        <v>1</v>
      </c>
      <c r="AD189" s="3">
        <v>0.125</v>
      </c>
      <c r="AE189" s="2">
        <v>45919.5</v>
      </c>
      <c r="AF189" t="s">
        <v>60</v>
      </c>
    </row>
    <row r="190">
      <c r="A190" t="s">
        <v>445</v>
      </c>
      <c r="B190" s="2">
        <v>45918.5</v>
      </c>
      <c r="C190" t="s">
        <v>37</v>
      </c>
      <c r="D190" t="s">
        <f>'客户档案'!B3</f>
        <v>38</v>
      </c>
      <c r="E190" t="s">
        <v>64</v>
      </c>
      <c r="F190" t="s">
        <v>65</v>
      </c>
      <c r="G190" t="s">
        <f>'商品目录'!B5</f>
        <v>66</v>
      </c>
      <c r="H190" t="s">
        <v>67</v>
      </c>
      <c r="I190">
        <v>4</v>
      </c>
      <c r="J190" s="4">
        <v>45</v>
      </c>
      <c r="K190" s="4">
        <f>I190*J190</f>
        <v>180</v>
      </c>
      <c r="L190" s="3">
        <v>0</v>
      </c>
      <c r="M190" s="4">
        <f>K190*L190</f>
        <v>0</v>
      </c>
      <c r="N190" s="4">
        <v>0</v>
      </c>
      <c r="O190" s="4">
        <f>K190-M190+N190</f>
        <v>180</v>
      </c>
      <c r="P190" t="s">
        <v>43</v>
      </c>
      <c r="Q190" t="b">
        <v>1</v>
      </c>
      <c r="R190" t="s">
        <v>55</v>
      </c>
      <c r="S190" t="s">
        <v>45</v>
      </c>
      <c r="T190" t="s">
        <v>46</v>
      </c>
      <c r="U190" t="s">
        <v>70</v>
      </c>
      <c r="V190" t="s">
        <v>38</v>
      </c>
      <c r="W190" t="s">
        <v>446</v>
      </c>
      <c r="X190" t="s">
        <v>72</v>
      </c>
      <c r="Y190">
        <v>9007199254741179</v>
      </c>
      <c r="Z190">
        <v>0</v>
      </c>
      <c r="AA190" t="s">
        <v>38</v>
      </c>
      <c r="AB190" t="b">
        <v>0</v>
      </c>
      <c r="AD190" s="3">
        <v>0.125</v>
      </c>
      <c r="AE190" s="2">
        <v>45920.5</v>
      </c>
      <c r="AF190" t="s">
        <v>60</v>
      </c>
    </row>
    <row r="191">
      <c r="A191" t="s">
        <v>447</v>
      </c>
      <c r="B191" s="2">
        <v>45919.5</v>
      </c>
      <c r="C191" t="s">
        <v>49</v>
      </c>
      <c r="D191" t="s">
        <f>'客户档案'!B4</f>
        <v>50</v>
      </c>
      <c r="E191" t="s">
        <v>74</v>
      </c>
      <c r="F191" t="s">
        <v>75</v>
      </c>
      <c r="G191" t="s">
        <f>'商品目录'!B6</f>
        <v>76</v>
      </c>
      <c r="H191" t="s">
        <v>77</v>
      </c>
      <c r="I191">
        <v>6</v>
      </c>
      <c r="J191" s="4">
        <v>8</v>
      </c>
      <c r="K191" s="4">
        <f>I191*J191</f>
        <v>48</v>
      </c>
      <c r="L191" s="3">
        <v>0.5</v>
      </c>
      <c r="M191" s="4">
        <f>K191*L191</f>
        <v>24</v>
      </c>
      <c r="N191" s="4">
        <v>10</v>
      </c>
      <c r="O191" s="4">
        <f>K191-M191+N191</f>
        <v>34</v>
      </c>
      <c r="P191" t="s">
        <v>43</v>
      </c>
      <c r="Q191" t="b">
        <v>1</v>
      </c>
      <c r="R191" t="s">
        <v>55</v>
      </c>
      <c r="S191" t="s">
        <v>56</v>
      </c>
      <c r="T191" t="s">
        <v>57</v>
      </c>
      <c r="U191" t="s">
        <v>78</v>
      </c>
      <c r="V191" t="s">
        <v>50</v>
      </c>
      <c r="W191" t="s">
        <v>448</v>
      </c>
      <c r="X191" t="s">
        <v>80</v>
      </c>
      <c r="Y191">
        <v>9007199254741180</v>
      </c>
      <c r="Z191">
        <v>2</v>
      </c>
      <c r="AA191" t="s">
        <v>50</v>
      </c>
      <c r="AB191" t="b">
        <v>1</v>
      </c>
      <c r="AD191" s="3">
        <v>0.125</v>
      </c>
      <c r="AE191" s="2">
        <v>45921.5</v>
      </c>
      <c r="AF191" t="s">
        <v>60</v>
      </c>
    </row>
    <row r="192">
      <c r="A192" t="s">
        <v>449</v>
      </c>
      <c r="B192" s="2">
        <v>45920.5</v>
      </c>
      <c r="C192" t="s">
        <v>62</v>
      </c>
      <c r="D192" t="s">
        <f>'客户档案'!B5</f>
        <v>63</v>
      </c>
      <c r="E192" t="s">
        <v>39</v>
      </c>
      <c r="F192" t="s">
        <v>40</v>
      </c>
      <c r="G192" t="s">
        <f>'商品目录'!B3</f>
        <v>41</v>
      </c>
      <c r="H192" t="s">
        <v>42</v>
      </c>
      <c r="I192">
        <v>8</v>
      </c>
      <c r="J192" s="4">
        <v>99</v>
      </c>
      <c r="K192" s="4">
        <f>I192*J192</f>
        <v>792</v>
      </c>
      <c r="L192" s="3">
        <v>0</v>
      </c>
      <c r="M192" s="4">
        <f>K192*L192</f>
        <v>0</v>
      </c>
      <c r="N192" s="4">
        <v>20</v>
      </c>
      <c r="O192" s="4">
        <f>K192-M192+N192</f>
        <v>812</v>
      </c>
      <c r="P192" t="s">
        <v>43</v>
      </c>
      <c r="Q192" t="b">
        <v>0</v>
      </c>
      <c r="R192" t="s">
        <v>44</v>
      </c>
      <c r="S192" t="s">
        <v>68</v>
      </c>
      <c r="T192" t="s">
        <v>69</v>
      </c>
      <c r="U192" t="s">
        <v>39</v>
      </c>
      <c r="V192" t="s">
        <v>63</v>
      </c>
      <c r="W192" t="s">
        <v>450</v>
      </c>
      <c r="X192" t="s">
        <v>0</v>
      </c>
      <c r="Y192">
        <v>9007199254741181</v>
      </c>
      <c r="Z192">
        <v>0</v>
      </c>
      <c r="AA192" t="s">
        <v>63</v>
      </c>
      <c r="AB192" t="b">
        <v>0</v>
      </c>
      <c r="AD192" s="3">
        <v>0.125</v>
      </c>
      <c r="AE192" s="2">
        <v>45922.5</v>
      </c>
      <c r="AF192" t="s">
        <v>60</v>
      </c>
    </row>
    <row r="193">
      <c r="A193" t="s">
        <v>451</v>
      </c>
      <c r="B193" s="2">
        <v>45921.5</v>
      </c>
      <c r="C193" t="s">
        <v>37</v>
      </c>
      <c r="D193" t="s">
        <f>'客户档案'!B3</f>
        <v>38</v>
      </c>
      <c r="E193" t="s">
        <v>51</v>
      </c>
      <c r="F193" t="s">
        <v>52</v>
      </c>
      <c r="G193" t="s">
        <f>'商品目录'!B4</f>
        <v>53</v>
      </c>
      <c r="H193" t="s">
        <v>54</v>
      </c>
      <c r="I193">
        <v>10</v>
      </c>
      <c r="J193" s="4">
        <v>129</v>
      </c>
      <c r="K193" s="4">
        <f>I193*J193</f>
        <v>1290</v>
      </c>
      <c r="L193" s="3">
        <v>0.5</v>
      </c>
      <c r="M193" s="4">
        <f>K193*L193</f>
        <v>645</v>
      </c>
      <c r="N193" s="4">
        <v>0</v>
      </c>
      <c r="O193" s="4">
        <f>K193-M193+N193</f>
        <v>645</v>
      </c>
      <c r="P193" t="s">
        <v>43</v>
      </c>
      <c r="Q193" t="b">
        <v>1</v>
      </c>
      <c r="R193" t="s">
        <v>55</v>
      </c>
      <c r="S193" t="s">
        <v>45</v>
      </c>
      <c r="T193" t="s">
        <v>46</v>
      </c>
      <c r="U193" t="s">
        <v>51</v>
      </c>
      <c r="V193" t="s">
        <v>38</v>
      </c>
      <c r="W193" t="s">
        <v>452</v>
      </c>
      <c r="X193" t="s">
        <v>59</v>
      </c>
      <c r="Y193">
        <v>9007199254741182</v>
      </c>
      <c r="Z193">
        <v>0</v>
      </c>
      <c r="AA193" t="s">
        <v>38</v>
      </c>
      <c r="AB193" t="b">
        <v>1</v>
      </c>
      <c r="AD193" s="3">
        <v>0.125</v>
      </c>
      <c r="AE193" s="2">
        <v>45923.5</v>
      </c>
      <c r="AF193" t="s">
        <v>60</v>
      </c>
    </row>
    <row r="194">
      <c r="A194" t="s">
        <v>453</v>
      </c>
      <c r="B194" s="2">
        <v>45922.5</v>
      </c>
      <c r="C194" t="s">
        <v>49</v>
      </c>
      <c r="D194" t="s">
        <f>'客户档案'!B4</f>
        <v>50</v>
      </c>
      <c r="E194" t="s">
        <v>64</v>
      </c>
      <c r="F194" t="s">
        <v>65</v>
      </c>
      <c r="G194" t="s">
        <f>'商品目录'!B5</f>
        <v>66</v>
      </c>
      <c r="H194" t="s">
        <v>67</v>
      </c>
      <c r="I194">
        <v>2</v>
      </c>
      <c r="J194" s="4">
        <v>45</v>
      </c>
      <c r="K194" s="4">
        <f>I194*J194</f>
        <v>90</v>
      </c>
      <c r="L194" s="3">
        <v>0</v>
      </c>
      <c r="M194" s="4">
        <f>K194*L194</f>
        <v>0</v>
      </c>
      <c r="N194" s="4">
        <v>10</v>
      </c>
      <c r="O194" s="4">
        <f>K194-M194+N194</f>
        <v>100</v>
      </c>
      <c r="P194" t="s">
        <v>43</v>
      </c>
      <c r="Q194" t="b">
        <v>1</v>
      </c>
      <c r="R194" t="s">
        <v>55</v>
      </c>
      <c r="S194" t="s">
        <v>56</v>
      </c>
      <c r="T194" t="s">
        <v>57</v>
      </c>
      <c r="U194" t="s">
        <v>70</v>
      </c>
      <c r="V194" t="s">
        <v>50</v>
      </c>
      <c r="W194" t="s">
        <v>454</v>
      </c>
      <c r="X194" t="s">
        <v>72</v>
      </c>
      <c r="Y194">
        <v>9007199254741183</v>
      </c>
      <c r="Z194">
        <v>0</v>
      </c>
      <c r="AA194" t="s">
        <v>50</v>
      </c>
      <c r="AB194" t="b">
        <v>0</v>
      </c>
      <c r="AD194" s="3">
        <v>0.125</v>
      </c>
      <c r="AE194" s="2">
        <v>45924.5</v>
      </c>
      <c r="AF194" t="s">
        <v>60</v>
      </c>
    </row>
    <row r="195">
      <c r="A195" t="s">
        <v>455</v>
      </c>
      <c r="B195" s="2">
        <v>45923.5</v>
      </c>
      <c r="C195" t="s">
        <v>62</v>
      </c>
      <c r="D195" t="s">
        <f>'客户档案'!B5</f>
        <v>63</v>
      </c>
      <c r="E195" t="s">
        <v>74</v>
      </c>
      <c r="F195" t="s">
        <v>75</v>
      </c>
      <c r="G195" t="s">
        <f>'商品目录'!B6</f>
        <v>76</v>
      </c>
      <c r="H195" t="s">
        <v>77</v>
      </c>
      <c r="I195">
        <v>4</v>
      </c>
      <c r="J195" s="4">
        <v>8</v>
      </c>
      <c r="K195" s="4">
        <f>I195*J195</f>
        <v>32</v>
      </c>
      <c r="L195" s="3">
        <v>0.5</v>
      </c>
      <c r="M195" s="4">
        <f>K195*L195</f>
        <v>16</v>
      </c>
      <c r="N195" s="4">
        <v>20</v>
      </c>
      <c r="O195" s="4">
        <f>K195-M195+N195</f>
        <v>36</v>
      </c>
      <c r="P195" t="s">
        <v>43</v>
      </c>
      <c r="Q195" t="b">
        <v>1</v>
      </c>
      <c r="R195" t="s">
        <v>55</v>
      </c>
      <c r="S195" t="s">
        <v>68</v>
      </c>
      <c r="T195" t="s">
        <v>69</v>
      </c>
      <c r="U195" t="s">
        <v>78</v>
      </c>
      <c r="V195" t="s">
        <v>63</v>
      </c>
      <c r="W195" t="s">
        <v>456</v>
      </c>
      <c r="X195" t="s">
        <v>80</v>
      </c>
      <c r="Y195">
        <v>9007199254741184</v>
      </c>
      <c r="Z195">
        <v>0</v>
      </c>
      <c r="AA195" t="s">
        <v>63</v>
      </c>
      <c r="AB195" t="b">
        <v>1</v>
      </c>
      <c r="AD195" s="3">
        <v>0.125</v>
      </c>
      <c r="AE195" s="2">
        <v>45925.5</v>
      </c>
      <c r="AF195" t="s">
        <v>60</v>
      </c>
    </row>
    <row r="196">
      <c r="A196" t="s">
        <v>457</v>
      </c>
      <c r="B196" s="2">
        <v>45924.5</v>
      </c>
      <c r="C196" t="s">
        <v>37</v>
      </c>
      <c r="D196" t="s">
        <f>'客户档案'!B3</f>
        <v>38</v>
      </c>
      <c r="E196" t="s">
        <v>39</v>
      </c>
      <c r="F196" t="s">
        <v>40</v>
      </c>
      <c r="G196" t="s">
        <f>'商品目录'!B3</f>
        <v>41</v>
      </c>
      <c r="H196" t="s">
        <v>42</v>
      </c>
      <c r="I196">
        <v>6</v>
      </c>
      <c r="J196" s="4">
        <v>99</v>
      </c>
      <c r="K196" s="4">
        <f>I196*J196</f>
        <v>594</v>
      </c>
      <c r="L196" s="3">
        <v>0</v>
      </c>
      <c r="M196" s="4">
        <f>K196*L196</f>
        <v>0</v>
      </c>
      <c r="N196" s="4">
        <v>0</v>
      </c>
      <c r="O196" s="4">
        <f>K196-M196+N196</f>
        <v>594</v>
      </c>
      <c r="P196" t="s">
        <v>43</v>
      </c>
      <c r="Q196" t="b">
        <v>0</v>
      </c>
      <c r="R196" t="s">
        <v>44</v>
      </c>
      <c r="S196" t="s">
        <v>45</v>
      </c>
      <c r="T196" t="s">
        <v>46</v>
      </c>
      <c r="U196" t="s">
        <v>39</v>
      </c>
      <c r="V196" t="s">
        <v>38</v>
      </c>
      <c r="W196" t="s">
        <v>458</v>
      </c>
      <c r="X196" t="s">
        <v>0</v>
      </c>
      <c r="Y196">
        <v>9007199254741185</v>
      </c>
      <c r="Z196">
        <v>0</v>
      </c>
      <c r="AA196" t="s">
        <v>38</v>
      </c>
      <c r="AB196" t="b">
        <v>0</v>
      </c>
      <c r="AD196" s="3">
        <v>0.125</v>
      </c>
      <c r="AE196" s="2">
        <v>45926.5</v>
      </c>
      <c r="AF196" t="s">
        <v>60</v>
      </c>
    </row>
    <row r="197">
      <c r="A197" t="s">
        <v>459</v>
      </c>
      <c r="B197" s="2">
        <v>45925.5</v>
      </c>
      <c r="C197" t="s">
        <v>49</v>
      </c>
      <c r="D197" t="s">
        <f>'客户档案'!B4</f>
        <v>50</v>
      </c>
      <c r="E197" t="s">
        <v>51</v>
      </c>
      <c r="F197" t="s">
        <v>52</v>
      </c>
      <c r="G197" t="s">
        <f>'商品目录'!B4</f>
        <v>53</v>
      </c>
      <c r="H197" t="s">
        <v>54</v>
      </c>
      <c r="I197">
        <v>8</v>
      </c>
      <c r="J197" s="4">
        <v>129</v>
      </c>
      <c r="K197" s="4">
        <f>I197*J197</f>
        <v>1032</v>
      </c>
      <c r="L197" s="3">
        <v>0.5</v>
      </c>
      <c r="M197" s="4">
        <f>K197*L197</f>
        <v>516</v>
      </c>
      <c r="N197" s="4">
        <v>10</v>
      </c>
      <c r="O197" s="4">
        <f>K197-M197+N197</f>
        <v>526</v>
      </c>
      <c r="P197" t="s">
        <v>43</v>
      </c>
      <c r="Q197" t="b">
        <v>1</v>
      </c>
      <c r="R197" t="s">
        <v>55</v>
      </c>
      <c r="S197" t="s">
        <v>56</v>
      </c>
      <c r="T197" t="s">
        <v>57</v>
      </c>
      <c r="U197" t="s">
        <v>51</v>
      </c>
      <c r="V197" t="s">
        <v>50</v>
      </c>
      <c r="W197" t="s">
        <v>460</v>
      </c>
      <c r="X197" t="s">
        <v>59</v>
      </c>
      <c r="Y197">
        <v>9007199254741186</v>
      </c>
      <c r="Z197">
        <v>0</v>
      </c>
      <c r="AA197" t="s">
        <v>50</v>
      </c>
      <c r="AB197" t="b">
        <v>1</v>
      </c>
      <c r="AD197" s="3">
        <v>0.125</v>
      </c>
      <c r="AE197" s="2">
        <v>45927.5</v>
      </c>
      <c r="AF197" t="s">
        <v>60</v>
      </c>
    </row>
    <row r="198">
      <c r="A198" t="s">
        <v>461</v>
      </c>
      <c r="B198" s="2">
        <v>45926.5</v>
      </c>
      <c r="C198" t="s">
        <v>62</v>
      </c>
      <c r="D198" t="s">
        <f>'客户档案'!B5</f>
        <v>63</v>
      </c>
      <c r="E198" t="s">
        <v>64</v>
      </c>
      <c r="F198" t="s">
        <v>65</v>
      </c>
      <c r="G198" t="s">
        <f>'商品目录'!B5</f>
        <v>66</v>
      </c>
      <c r="H198" t="s">
        <v>67</v>
      </c>
      <c r="I198">
        <v>10</v>
      </c>
      <c r="J198" s="4">
        <v>45</v>
      </c>
      <c r="K198" s="4">
        <f>I198*J198</f>
        <v>450</v>
      </c>
      <c r="L198" s="3">
        <v>0</v>
      </c>
      <c r="M198" s="4">
        <f>K198*L198</f>
        <v>0</v>
      </c>
      <c r="N198" s="4">
        <v>20</v>
      </c>
      <c r="O198" s="4">
        <f>K198-M198+N198</f>
        <v>470</v>
      </c>
      <c r="P198" t="s">
        <v>43</v>
      </c>
      <c r="Q198" t="b">
        <v>1</v>
      </c>
      <c r="R198" t="s">
        <v>55</v>
      </c>
      <c r="S198" t="s">
        <v>68</v>
      </c>
      <c r="T198" t="s">
        <v>69</v>
      </c>
      <c r="U198" t="s">
        <v>70</v>
      </c>
      <c r="V198" t="s">
        <v>63</v>
      </c>
      <c r="W198" t="s">
        <v>462</v>
      </c>
      <c r="X198" t="s">
        <v>72</v>
      </c>
      <c r="Y198">
        <v>9007199254741187</v>
      </c>
      <c r="Z198">
        <v>0</v>
      </c>
      <c r="AA198" t="s">
        <v>63</v>
      </c>
      <c r="AB198" t="b">
        <v>0</v>
      </c>
      <c r="AD198" s="3">
        <v>0.125</v>
      </c>
      <c r="AE198" s="2">
        <v>45928.5</v>
      </c>
      <c r="AF198" t="s">
        <v>60</v>
      </c>
    </row>
    <row r="199">
      <c r="A199" t="s">
        <v>463</v>
      </c>
      <c r="B199" s="2">
        <v>45927.5</v>
      </c>
      <c r="C199" t="s">
        <v>37</v>
      </c>
      <c r="D199" t="s">
        <f>'客户档案'!B3</f>
        <v>38</v>
      </c>
      <c r="E199" t="s">
        <v>74</v>
      </c>
      <c r="F199" t="s">
        <v>75</v>
      </c>
      <c r="G199" t="s">
        <f>'商品目录'!B6</f>
        <v>76</v>
      </c>
      <c r="H199" t="s">
        <v>77</v>
      </c>
      <c r="I199">
        <v>2</v>
      </c>
      <c r="J199" s="4">
        <v>8</v>
      </c>
      <c r="K199" s="4">
        <f>I199*J199</f>
        <v>16</v>
      </c>
      <c r="L199" s="3">
        <v>0.5</v>
      </c>
      <c r="M199" s="4">
        <f>K199*L199</f>
        <v>8</v>
      </c>
      <c r="N199" s="4">
        <v>0</v>
      </c>
      <c r="O199" s="4">
        <f>K199-M199+N199</f>
        <v>8</v>
      </c>
      <c r="P199" t="s">
        <v>43</v>
      </c>
      <c r="Q199" t="b">
        <v>1</v>
      </c>
      <c r="R199" t="s">
        <v>55</v>
      </c>
      <c r="S199" t="s">
        <v>45</v>
      </c>
      <c r="T199" t="s">
        <v>46</v>
      </c>
      <c r="U199" t="s">
        <v>78</v>
      </c>
      <c r="V199" t="s">
        <v>38</v>
      </c>
      <c r="W199" t="s">
        <v>464</v>
      </c>
      <c r="X199" t="s">
        <v>80</v>
      </c>
      <c r="Y199">
        <v>9007199254741188</v>
      </c>
      <c r="Z199">
        <v>0</v>
      </c>
      <c r="AA199" t="s">
        <v>38</v>
      </c>
      <c r="AB199" t="b">
        <v>1</v>
      </c>
      <c r="AD199" s="3">
        <v>0.125</v>
      </c>
      <c r="AE199" s="2">
        <v>45929.5</v>
      </c>
      <c r="AF199" t="s">
        <v>60</v>
      </c>
    </row>
    <row r="200">
      <c r="A200" t="s">
        <v>465</v>
      </c>
      <c r="B200" s="2">
        <v>45900.5</v>
      </c>
      <c r="C200" t="s">
        <v>49</v>
      </c>
      <c r="D200" t="s">
        <f>'客户档案'!B4</f>
        <v>50</v>
      </c>
      <c r="E200" t="s">
        <v>39</v>
      </c>
      <c r="F200" t="s">
        <v>40</v>
      </c>
      <c r="G200" t="s">
        <f>'商品目录'!B3</f>
        <v>41</v>
      </c>
      <c r="H200" t="s">
        <v>42</v>
      </c>
      <c r="I200">
        <v>4</v>
      </c>
      <c r="J200" s="4">
        <v>99</v>
      </c>
      <c r="K200" s="4">
        <f>I200*J200</f>
        <v>396</v>
      </c>
      <c r="L200" s="3">
        <v>0</v>
      </c>
      <c r="M200" s="4">
        <f>K200*L200</f>
        <v>0</v>
      </c>
      <c r="N200" s="4">
        <v>10</v>
      </c>
      <c r="O200" s="4">
        <f>K200-M200+N200</f>
        <v>406</v>
      </c>
      <c r="P200" t="s">
        <v>43</v>
      </c>
      <c r="Q200" t="b">
        <v>0</v>
      </c>
      <c r="R200" t="s">
        <v>44</v>
      </c>
      <c r="S200" t="s">
        <v>56</v>
      </c>
      <c r="T200" t="s">
        <v>57</v>
      </c>
      <c r="U200" t="s">
        <v>39</v>
      </c>
      <c r="V200" t="s">
        <v>50</v>
      </c>
      <c r="W200" t="s">
        <v>466</v>
      </c>
      <c r="X200" t="s">
        <v>0</v>
      </c>
      <c r="Y200">
        <v>9007199254741189</v>
      </c>
      <c r="Z200">
        <v>0</v>
      </c>
      <c r="AA200" t="s">
        <v>50</v>
      </c>
      <c r="AB200" t="b">
        <v>0</v>
      </c>
      <c r="AD200" s="3">
        <v>0.125</v>
      </c>
      <c r="AE200" s="2">
        <v>45902.5</v>
      </c>
      <c r="AF200" t="s">
        <v>60</v>
      </c>
    </row>
    <row r="201">
      <c r="A201" t="s">
        <v>467</v>
      </c>
      <c r="B201" s="2">
        <v>45901.5</v>
      </c>
      <c r="C201" t="s">
        <v>62</v>
      </c>
      <c r="D201" t="s">
        <f>'客户档案'!B5</f>
        <v>63</v>
      </c>
      <c r="E201" t="s">
        <v>51</v>
      </c>
      <c r="F201" t="s">
        <v>52</v>
      </c>
      <c r="G201" t="s">
        <f>'商品目录'!B4</f>
        <v>53</v>
      </c>
      <c r="H201" t="s">
        <v>54</v>
      </c>
      <c r="I201">
        <v>6</v>
      </c>
      <c r="J201" s="4">
        <v>129</v>
      </c>
      <c r="K201" s="4">
        <f>I201*J201</f>
        <v>774</v>
      </c>
      <c r="L201" s="3">
        <v>0.5</v>
      </c>
      <c r="M201" s="4">
        <f>K201*L201</f>
        <v>387</v>
      </c>
      <c r="N201" s="4">
        <v>20</v>
      </c>
      <c r="O201" s="4">
        <f>K201-M201+N201</f>
        <v>407</v>
      </c>
      <c r="P201" t="s">
        <v>43</v>
      </c>
      <c r="Q201" t="b">
        <v>1</v>
      </c>
      <c r="R201" t="s">
        <v>55</v>
      </c>
      <c r="S201" t="s">
        <v>68</v>
      </c>
      <c r="T201" t="s">
        <v>69</v>
      </c>
      <c r="U201" t="s">
        <v>51</v>
      </c>
      <c r="V201" t="s">
        <v>63</v>
      </c>
      <c r="W201" t="s">
        <v>468</v>
      </c>
      <c r="X201" t="s">
        <v>59</v>
      </c>
      <c r="Y201">
        <v>9007199254741190</v>
      </c>
      <c r="Z201">
        <v>0</v>
      </c>
      <c r="AA201" t="s">
        <v>63</v>
      </c>
      <c r="AB201" t="b">
        <v>1</v>
      </c>
      <c r="AD201" s="3">
        <v>0.125</v>
      </c>
      <c r="AE201" s="2">
        <v>45903.5</v>
      </c>
      <c r="AF201" t="s">
        <v>60</v>
      </c>
    </row>
    <row r="202">
      <c r="A202" t="s">
        <v>469</v>
      </c>
      <c r="B202" s="2">
        <v>45902.5</v>
      </c>
      <c r="C202" t="s">
        <v>37</v>
      </c>
      <c r="D202" t="s">
        <f>'客户档案'!B3</f>
        <v>38</v>
      </c>
      <c r="E202" t="s">
        <v>64</v>
      </c>
      <c r="F202" t="s">
        <v>65</v>
      </c>
      <c r="G202" t="s">
        <f>'商品目录'!B5</f>
        <v>66</v>
      </c>
      <c r="H202" t="s">
        <v>67</v>
      </c>
      <c r="I202">
        <v>8</v>
      </c>
      <c r="J202" s="4">
        <v>45</v>
      </c>
      <c r="K202" s="4">
        <f>I202*J202</f>
        <v>360</v>
      </c>
      <c r="L202" s="3">
        <v>0</v>
      </c>
      <c r="M202" s="4">
        <f>K202*L202</f>
        <v>0</v>
      </c>
      <c r="N202" s="4">
        <v>0</v>
      </c>
      <c r="O202" s="4">
        <f>K202-M202+N202</f>
        <v>360</v>
      </c>
      <c r="P202" t="s">
        <v>43</v>
      </c>
      <c r="Q202" t="b">
        <v>1</v>
      </c>
      <c r="R202" t="s">
        <v>55</v>
      </c>
      <c r="S202" t="s">
        <v>45</v>
      </c>
      <c r="T202" t="s">
        <v>46</v>
      </c>
      <c r="U202" t="s">
        <v>70</v>
      </c>
      <c r="V202" t="s">
        <v>38</v>
      </c>
      <c r="W202" t="s">
        <v>470</v>
      </c>
      <c r="X202" t="s">
        <v>72</v>
      </c>
      <c r="Y202">
        <v>9007199254741191</v>
      </c>
      <c r="Z202">
        <v>0</v>
      </c>
      <c r="AA202" t="s">
        <v>38</v>
      </c>
      <c r="AB202" t="b">
        <v>0</v>
      </c>
      <c r="AD202" s="3">
        <v>0.125</v>
      </c>
      <c r="AE202" s="2">
        <v>45904.5</v>
      </c>
      <c r="AF202" t="s">
        <v>60</v>
      </c>
    </row>
    <row r="203">
      <c r="A203" t="s">
        <v>471</v>
      </c>
      <c r="B203" s="2">
        <v>45903.5</v>
      </c>
      <c r="C203" t="s">
        <v>49</v>
      </c>
      <c r="D203" t="s">
        <f>'客户档案'!B4</f>
        <v>50</v>
      </c>
      <c r="E203" t="s">
        <v>74</v>
      </c>
      <c r="F203" t="s">
        <v>75</v>
      </c>
      <c r="G203" t="s">
        <f>'商品目录'!B6</f>
        <v>76</v>
      </c>
      <c r="H203" t="s">
        <v>77</v>
      </c>
      <c r="I203">
        <v>10</v>
      </c>
      <c r="J203" s="4">
        <v>8</v>
      </c>
      <c r="K203" s="4">
        <f>I203*J203</f>
        <v>80</v>
      </c>
      <c r="L203" s="3">
        <v>0.5</v>
      </c>
      <c r="M203" s="4">
        <f>K203*L203</f>
        <v>40</v>
      </c>
      <c r="N203" s="4">
        <v>10</v>
      </c>
      <c r="O203" s="4">
        <f>K203-M203+N203</f>
        <v>50</v>
      </c>
      <c r="P203" t="s">
        <v>43</v>
      </c>
      <c r="Q203" t="b">
        <v>1</v>
      </c>
      <c r="R203" t="s">
        <v>55</v>
      </c>
      <c r="S203" t="s">
        <v>56</v>
      </c>
      <c r="T203" t="s">
        <v>57</v>
      </c>
      <c r="U203" t="s">
        <v>78</v>
      </c>
      <c r="V203" t="s">
        <v>50</v>
      </c>
      <c r="W203" t="s">
        <v>472</v>
      </c>
      <c r="X203" t="s">
        <v>80</v>
      </c>
      <c r="Y203">
        <v>9007199254741192</v>
      </c>
      <c r="Z203">
        <v>0</v>
      </c>
      <c r="AA203" t="s">
        <v>50</v>
      </c>
      <c r="AB203" t="b">
        <v>1</v>
      </c>
      <c r="AD203" s="3">
        <v>0.125</v>
      </c>
      <c r="AE203" s="2">
        <v>45905.5</v>
      </c>
      <c r="AF203" t="s">
        <v>60</v>
      </c>
    </row>
    <row r="205">
      <c r="A205" t="s">
        <v>473</v>
      </c>
      <c r="B205" s="2">
        <v>45904.5</v>
      </c>
      <c r="C205" t="s">
        <v>62</v>
      </c>
      <c r="D205" t="s">
        <f>'客户档案'!B5</f>
        <v>63</v>
      </c>
      <c r="E205" t="s">
        <v>39</v>
      </c>
      <c r="F205" t="s">
        <v>40</v>
      </c>
      <c r="G205" t="s">
        <f>'商品目录'!B3</f>
        <v>41</v>
      </c>
      <c r="H205" t="s">
        <v>42</v>
      </c>
      <c r="I205">
        <v>2</v>
      </c>
      <c r="J205" s="4">
        <v>99</v>
      </c>
      <c r="K205" s="4">
        <f>I205*J205</f>
        <v>198</v>
      </c>
      <c r="L205" s="3">
        <v>0</v>
      </c>
      <c r="M205" s="4">
        <f>K205*L205</f>
        <v>0</v>
      </c>
      <c r="N205" s="4">
        <v>20</v>
      </c>
      <c r="O205" s="4">
        <f>K205-M205+N205</f>
        <v>218</v>
      </c>
      <c r="P205" t="s">
        <v>43</v>
      </c>
      <c r="Q205" t="b">
        <v>0</v>
      </c>
      <c r="R205" t="s">
        <v>44</v>
      </c>
      <c r="S205" t="s">
        <v>68</v>
      </c>
      <c r="T205" t="s">
        <v>69</v>
      </c>
      <c r="U205" t="s">
        <v>39</v>
      </c>
      <c r="V205" t="s">
        <v>63</v>
      </c>
      <c r="W205" t="s">
        <v>474</v>
      </c>
      <c r="X205" t="s">
        <v>0</v>
      </c>
      <c r="Y205">
        <v>9007199254741193</v>
      </c>
      <c r="Z205">
        <v>0</v>
      </c>
      <c r="AA205" t="s">
        <v>63</v>
      </c>
      <c r="AB205" t="b">
        <v>0</v>
      </c>
      <c r="AD205" s="3">
        <v>0.125</v>
      </c>
      <c r="AE205" s="2">
        <v>45906.5</v>
      </c>
      <c r="AF205" t="s">
        <v>60</v>
      </c>
    </row>
    <row r="206">
      <c r="A206" t="s">
        <v>475</v>
      </c>
      <c r="B206" s="2">
        <v>45905.5</v>
      </c>
      <c r="C206" t="s">
        <v>37</v>
      </c>
      <c r="D206" t="s">
        <f>'客户档案'!B3</f>
        <v>38</v>
      </c>
      <c r="E206" t="s">
        <v>51</v>
      </c>
      <c r="F206" t="s">
        <v>52</v>
      </c>
      <c r="G206" t="s">
        <f>'商品目录'!B4</f>
        <v>53</v>
      </c>
      <c r="H206" t="s">
        <v>54</v>
      </c>
      <c r="I206">
        <v>4</v>
      </c>
      <c r="J206" s="4">
        <v>129</v>
      </c>
      <c r="K206" s="4">
        <f>I206*J206</f>
        <v>516</v>
      </c>
      <c r="L206" s="3">
        <v>0.5</v>
      </c>
      <c r="M206" s="4">
        <f>K206*L206</f>
        <v>258</v>
      </c>
      <c r="N206" s="4">
        <v>0</v>
      </c>
      <c r="O206" s="4">
        <f>K206-M206+N206</f>
        <v>258</v>
      </c>
      <c r="P206" t="s">
        <v>43</v>
      </c>
      <c r="Q206" t="b">
        <v>1</v>
      </c>
      <c r="R206" t="s">
        <v>55</v>
      </c>
      <c r="S206" t="s">
        <v>45</v>
      </c>
      <c r="T206" t="s">
        <v>46</v>
      </c>
      <c r="U206" t="s">
        <v>51</v>
      </c>
      <c r="V206" t="s">
        <v>38</v>
      </c>
      <c r="W206" t="s">
        <v>476</v>
      </c>
      <c r="X206" t="s">
        <v>59</v>
      </c>
      <c r="Y206">
        <v>9007199254741194</v>
      </c>
      <c r="Z206">
        <v>0</v>
      </c>
      <c r="AA206" t="s">
        <v>38</v>
      </c>
      <c r="AB206" t="b">
        <v>1</v>
      </c>
      <c r="AD206" s="3">
        <v>0.125</v>
      </c>
      <c r="AE206" s="2">
        <v>45907.5</v>
      </c>
      <c r="AF206" t="s">
        <v>60</v>
      </c>
    </row>
    <row r="207">
      <c r="A207" t="s">
        <v>477</v>
      </c>
      <c r="B207" s="2">
        <v>45906.5</v>
      </c>
      <c r="C207" t="s">
        <v>49</v>
      </c>
      <c r="D207" t="s">
        <f>'客户档案'!B4</f>
        <v>50</v>
      </c>
      <c r="E207" t="s">
        <v>64</v>
      </c>
      <c r="F207" t="s">
        <v>65</v>
      </c>
      <c r="G207" t="s">
        <f>'商品目录'!B5</f>
        <v>66</v>
      </c>
      <c r="H207" t="s">
        <v>67</v>
      </c>
      <c r="I207">
        <v>6</v>
      </c>
      <c r="J207" s="4">
        <v>45</v>
      </c>
      <c r="K207" s="4">
        <f>I207*J207</f>
        <v>270</v>
      </c>
      <c r="L207" s="3">
        <v>0</v>
      </c>
      <c r="M207" s="4">
        <f>K207*L207</f>
        <v>0</v>
      </c>
      <c r="N207" s="4">
        <v>10</v>
      </c>
      <c r="O207" s="4">
        <f>K207-M207+N207</f>
        <v>280</v>
      </c>
      <c r="P207" t="s">
        <v>43</v>
      </c>
      <c r="Q207" t="b">
        <v>1</v>
      </c>
      <c r="R207" t="s">
        <v>55</v>
      </c>
      <c r="S207" t="s">
        <v>56</v>
      </c>
      <c r="T207" t="s">
        <v>57</v>
      </c>
      <c r="U207" t="s">
        <v>70</v>
      </c>
      <c r="V207" t="s">
        <v>50</v>
      </c>
      <c r="W207" t="s">
        <v>478</v>
      </c>
      <c r="X207" t="s">
        <v>72</v>
      </c>
      <c r="Y207">
        <v>9007199254741195</v>
      </c>
      <c r="Z207">
        <v>0</v>
      </c>
      <c r="AA207" t="s">
        <v>50</v>
      </c>
      <c r="AB207" t="b">
        <v>0</v>
      </c>
      <c r="AD207" s="3">
        <v>0.125</v>
      </c>
      <c r="AE207" s="2">
        <v>45908.5</v>
      </c>
      <c r="AF207" t="e">
        <v>#N/A</v>
      </c>
    </row>
    <row r="208">
      <c r="A208" t="s">
        <v>479</v>
      </c>
      <c r="B208" s="2">
        <v>45907.5</v>
      </c>
      <c r="C208" t="s">
        <v>62</v>
      </c>
      <c r="D208" t="s">
        <f>'客户档案'!B5</f>
        <v>63</v>
      </c>
      <c r="E208" t="s">
        <v>74</v>
      </c>
      <c r="F208" t="s">
        <v>75</v>
      </c>
      <c r="G208" t="s">
        <f>'商品目录'!B6</f>
        <v>76</v>
      </c>
      <c r="H208" t="s">
        <v>77</v>
      </c>
      <c r="I208">
        <v>8</v>
      </c>
      <c r="J208" s="4">
        <v>8</v>
      </c>
      <c r="K208" s="4">
        <f>I208*J208</f>
        <v>64</v>
      </c>
      <c r="L208" s="3">
        <v>0.5</v>
      </c>
      <c r="M208" s="4">
        <f>K208*L208</f>
        <v>32</v>
      </c>
      <c r="N208" s="4">
        <v>20</v>
      </c>
      <c r="O208" s="4">
        <f>K208-M208+N208</f>
        <v>52</v>
      </c>
      <c r="P208" t="s">
        <v>43</v>
      </c>
      <c r="Q208" t="b">
        <v>1</v>
      </c>
      <c r="R208" t="s">
        <v>55</v>
      </c>
      <c r="S208" t="s">
        <v>68</v>
      </c>
      <c r="T208" t="s">
        <v>69</v>
      </c>
      <c r="U208" t="s">
        <v>78</v>
      </c>
      <c r="V208" t="s">
        <v>63</v>
      </c>
      <c r="W208" t="s">
        <v>480</v>
      </c>
      <c r="X208" t="s">
        <v>80</v>
      </c>
      <c r="Y208">
        <v>9007199254741196</v>
      </c>
      <c r="Z208">
        <v>0</v>
      </c>
      <c r="AA208" t="s">
        <v>63</v>
      </c>
      <c r="AB208" t="b">
        <v>1</v>
      </c>
      <c r="AD208" s="3">
        <v>0.125</v>
      </c>
      <c r="AE208" s="2">
        <v>45909.5</v>
      </c>
      <c r="AF208" t="s">
        <v>60</v>
      </c>
    </row>
    <row r="209">
      <c r="A209" t="s">
        <v>481</v>
      </c>
      <c r="B209" s="2">
        <v>45908.5</v>
      </c>
      <c r="C209" t="s">
        <v>37</v>
      </c>
      <c r="D209" t="s">
        <f>'客户档案'!B3</f>
        <v>38</v>
      </c>
      <c r="E209" t="s">
        <v>39</v>
      </c>
      <c r="F209" t="s">
        <v>40</v>
      </c>
      <c r="G209" t="s">
        <f>'商品目录'!B3</f>
        <v>41</v>
      </c>
      <c r="H209" t="s">
        <v>42</v>
      </c>
      <c r="I209">
        <v>10</v>
      </c>
      <c r="J209" s="4">
        <v>99</v>
      </c>
      <c r="K209" s="4">
        <f>I209*J209</f>
        <v>990</v>
      </c>
      <c r="L209" s="3">
        <v>0</v>
      </c>
      <c r="M209" s="4">
        <f>K209*L209</f>
        <v>0</v>
      </c>
      <c r="N209" s="4">
        <v>0</v>
      </c>
      <c r="O209" s="4">
        <f>K209-M209+N209</f>
        <v>990</v>
      </c>
      <c r="P209" t="s">
        <v>43</v>
      </c>
      <c r="Q209" t="b">
        <v>0</v>
      </c>
      <c r="R209" t="s">
        <v>44</v>
      </c>
      <c r="S209" t="s">
        <v>45</v>
      </c>
      <c r="T209" t="s">
        <v>46</v>
      </c>
      <c r="U209" t="s">
        <v>39</v>
      </c>
      <c r="V209" t="s">
        <v>38</v>
      </c>
      <c r="W209" t="s">
        <v>482</v>
      </c>
      <c r="X209" t="s">
        <v>0</v>
      </c>
      <c r="Y209">
        <v>9007199254741197</v>
      </c>
      <c r="Z209">
        <v>2</v>
      </c>
      <c r="AA209" t="s">
        <v>38</v>
      </c>
      <c r="AB209" t="b">
        <v>0</v>
      </c>
      <c r="AD209" s="3">
        <v>0.125</v>
      </c>
      <c r="AE209" s="2">
        <v>45910.5</v>
      </c>
      <c r="AF209" t="s">
        <v>60</v>
      </c>
    </row>
    <row r="210">
      <c r="A210" t="s">
        <v>483</v>
      </c>
      <c r="B210" s="2">
        <v>45909.5</v>
      </c>
      <c r="C210" t="s">
        <v>49</v>
      </c>
      <c r="D210" t="s">
        <f>'客户档案'!B4</f>
        <v>50</v>
      </c>
      <c r="E210" t="s">
        <v>51</v>
      </c>
      <c r="F210" t="s">
        <v>52</v>
      </c>
      <c r="G210" t="s">
        <f>'商品目录'!B4</f>
        <v>53</v>
      </c>
      <c r="H210" t="s">
        <v>54</v>
      </c>
      <c r="I210">
        <v>2</v>
      </c>
      <c r="J210" s="4">
        <v>129</v>
      </c>
      <c r="K210" s="4">
        <f>I210*J210</f>
        <v>258</v>
      </c>
      <c r="L210" s="3">
        <v>0.5</v>
      </c>
      <c r="M210" s="4">
        <f>K210*L210</f>
        <v>129</v>
      </c>
      <c r="N210" s="4">
        <v>10</v>
      </c>
      <c r="O210" s="4">
        <f>K210-M210+N210</f>
        <v>139</v>
      </c>
      <c r="P210" t="s">
        <v>43</v>
      </c>
      <c r="Q210" t="b">
        <v>1</v>
      </c>
      <c r="R210" t="s">
        <v>55</v>
      </c>
      <c r="S210" t="s">
        <v>56</v>
      </c>
      <c r="T210" t="s">
        <v>57</v>
      </c>
      <c r="U210" t="s">
        <v>51</v>
      </c>
      <c r="V210" t="s">
        <v>50</v>
      </c>
      <c r="W210" t="s">
        <v>484</v>
      </c>
      <c r="X210" t="s">
        <v>59</v>
      </c>
      <c r="Y210">
        <v>9007199254741198</v>
      </c>
      <c r="Z210">
        <v>0</v>
      </c>
      <c r="AA210" t="s">
        <v>50</v>
      </c>
      <c r="AB210" t="b">
        <v>1</v>
      </c>
      <c r="AD210" s="3">
        <v>0.125</v>
      </c>
      <c r="AE210" s="2">
        <v>45911.5</v>
      </c>
      <c r="AF210" t="s">
        <v>60</v>
      </c>
    </row>
    <row r="211">
      <c r="A211" t="s">
        <v>485</v>
      </c>
      <c r="B211" s="2">
        <v>45910.5</v>
      </c>
      <c r="C211" t="s">
        <v>62</v>
      </c>
      <c r="D211" t="s">
        <f>'客户档案'!B5</f>
        <v>63</v>
      </c>
      <c r="E211" t="s">
        <v>64</v>
      </c>
      <c r="F211" t="s">
        <v>65</v>
      </c>
      <c r="G211" t="s">
        <f>'商品目录'!B5</f>
        <v>66</v>
      </c>
      <c r="H211" t="s">
        <v>67</v>
      </c>
      <c r="I211">
        <v>4</v>
      </c>
      <c r="J211" s="4">
        <v>45</v>
      </c>
      <c r="K211" s="4">
        <f>I211*J211</f>
        <v>180</v>
      </c>
      <c r="L211" s="3">
        <v>0</v>
      </c>
      <c r="M211" s="4">
        <f>K211*L211</f>
        <v>0</v>
      </c>
      <c r="N211" s="4">
        <v>20</v>
      </c>
      <c r="O211" s="4">
        <f>K211-M211+N211</f>
        <v>200</v>
      </c>
      <c r="P211" t="s">
        <v>43</v>
      </c>
      <c r="Q211" t="b">
        <v>1</v>
      </c>
      <c r="R211" t="s">
        <v>55</v>
      </c>
      <c r="S211" t="s">
        <v>68</v>
      </c>
      <c r="T211" t="s">
        <v>69</v>
      </c>
      <c r="U211" t="s">
        <v>70</v>
      </c>
      <c r="V211" t="s">
        <v>63</v>
      </c>
      <c r="W211" t="s">
        <v>486</v>
      </c>
      <c r="X211" t="s">
        <v>72</v>
      </c>
      <c r="Y211">
        <v>9007199254741199</v>
      </c>
      <c r="Z211">
        <v>0</v>
      </c>
      <c r="AA211" t="s">
        <v>63</v>
      </c>
      <c r="AB211" t="b">
        <v>0</v>
      </c>
      <c r="AD211" s="3">
        <v>0.125</v>
      </c>
      <c r="AE211" s="2">
        <v>45912.5</v>
      </c>
      <c r="AF211" t="s">
        <v>60</v>
      </c>
    </row>
    <row r="212">
      <c r="A212" t="s">
        <v>487</v>
      </c>
      <c r="B212" s="2">
        <v>45911.5</v>
      </c>
      <c r="C212" t="s">
        <v>37</v>
      </c>
      <c r="D212" t="s">
        <f>'客户档案'!B3</f>
        <v>38</v>
      </c>
      <c r="E212" t="s">
        <v>74</v>
      </c>
      <c r="F212" t="s">
        <v>75</v>
      </c>
      <c r="G212" t="s">
        <f>'商品目录'!B6</f>
        <v>76</v>
      </c>
      <c r="H212" t="s">
        <v>77</v>
      </c>
      <c r="I212">
        <v>6</v>
      </c>
      <c r="J212" s="4">
        <v>8</v>
      </c>
      <c r="K212" s="4">
        <f>I212*J212</f>
        <v>48</v>
      </c>
      <c r="L212" s="3">
        <v>0.5</v>
      </c>
      <c r="M212" s="4">
        <f>K212*L212</f>
        <v>24</v>
      </c>
      <c r="N212" s="4">
        <v>0</v>
      </c>
      <c r="O212" s="4">
        <f>K212-M212+N212</f>
        <v>24</v>
      </c>
      <c r="P212" t="s">
        <v>43</v>
      </c>
      <c r="Q212" t="b">
        <v>1</v>
      </c>
      <c r="R212" t="s">
        <v>55</v>
      </c>
      <c r="S212" t="s">
        <v>45</v>
      </c>
      <c r="T212" t="s">
        <v>46</v>
      </c>
      <c r="U212" t="s">
        <v>78</v>
      </c>
      <c r="V212" t="s">
        <v>38</v>
      </c>
      <c r="W212" t="s">
        <v>488</v>
      </c>
      <c r="X212" t="s">
        <v>80</v>
      </c>
      <c r="Y212">
        <v>9007199254741200</v>
      </c>
      <c r="Z212">
        <v>0</v>
      </c>
      <c r="AA212" t="s">
        <v>38</v>
      </c>
      <c r="AB212" t="b">
        <v>1</v>
      </c>
      <c r="AD212" s="3">
        <v>0.125</v>
      </c>
      <c r="AE212" s="2">
        <v>45913.5</v>
      </c>
      <c r="AF212" t="s">
        <v>60</v>
      </c>
    </row>
    <row r="213">
      <c r="A213" t="s">
        <v>489</v>
      </c>
      <c r="B213" s="2">
        <v>45912.5</v>
      </c>
      <c r="C213" t="s">
        <v>49</v>
      </c>
      <c r="D213" t="s">
        <f>'客户档案'!B4</f>
        <v>50</v>
      </c>
      <c r="E213" t="s">
        <v>39</v>
      </c>
      <c r="F213" t="s">
        <v>40</v>
      </c>
      <c r="G213" t="s">
        <f>'商品目录'!B3</f>
        <v>41</v>
      </c>
      <c r="H213" t="s">
        <v>42</v>
      </c>
      <c r="I213">
        <v>8</v>
      </c>
      <c r="J213" s="4">
        <v>99</v>
      </c>
      <c r="K213" s="4">
        <f>I213*J213</f>
        <v>792</v>
      </c>
      <c r="L213" s="3">
        <v>0</v>
      </c>
      <c r="M213" s="4">
        <f>K213*L213</f>
        <v>0</v>
      </c>
      <c r="N213" s="4">
        <v>10</v>
      </c>
      <c r="O213" s="4">
        <f>K213-M213+N213</f>
        <v>802</v>
      </c>
      <c r="P213" t="s">
        <v>43</v>
      </c>
      <c r="Q213" t="b">
        <v>0</v>
      </c>
      <c r="R213" t="s">
        <v>44</v>
      </c>
      <c r="S213" t="s">
        <v>56</v>
      </c>
      <c r="T213" t="s">
        <v>57</v>
      </c>
      <c r="U213" t="s">
        <v>39</v>
      </c>
      <c r="V213" t="s">
        <v>50</v>
      </c>
      <c r="W213" t="s">
        <v>490</v>
      </c>
      <c r="X213" t="s">
        <v>0</v>
      </c>
      <c r="Y213">
        <v>9007199254741201</v>
      </c>
      <c r="Z213">
        <v>0</v>
      </c>
      <c r="AA213" t="s">
        <v>50</v>
      </c>
      <c r="AB213" t="b">
        <v>0</v>
      </c>
      <c r="AD213" s="3">
        <v>0.125</v>
      </c>
      <c r="AE213" s="2">
        <v>45914.5</v>
      </c>
      <c r="AF213" t="s">
        <v>60</v>
      </c>
    </row>
    <row r="214">
      <c r="A214" t="s">
        <v>491</v>
      </c>
      <c r="B214" s="2">
        <v>45913.5</v>
      </c>
      <c r="C214" t="s">
        <v>62</v>
      </c>
      <c r="D214" t="s">
        <f>'客户档案'!B5</f>
        <v>63</v>
      </c>
      <c r="E214" t="s">
        <v>51</v>
      </c>
      <c r="F214" t="s">
        <v>52</v>
      </c>
      <c r="G214" t="s">
        <f>'商品目录'!B4</f>
        <v>53</v>
      </c>
      <c r="H214" t="s">
        <v>54</v>
      </c>
      <c r="I214">
        <v>10</v>
      </c>
      <c r="J214" s="4">
        <v>129</v>
      </c>
      <c r="K214" s="4">
        <f>I214*J214</f>
        <v>1290</v>
      </c>
      <c r="L214" s="3">
        <v>0.5</v>
      </c>
      <c r="M214" s="4">
        <f>K214*L214</f>
        <v>645</v>
      </c>
      <c r="N214" s="4">
        <v>20</v>
      </c>
      <c r="O214" s="4">
        <f>K214-M214+N214</f>
        <v>665</v>
      </c>
      <c r="P214" t="s">
        <v>43</v>
      </c>
      <c r="Q214" t="b">
        <v>1</v>
      </c>
      <c r="R214" t="s">
        <v>55</v>
      </c>
      <c r="S214" t="s">
        <v>68</v>
      </c>
      <c r="T214" t="s">
        <v>69</v>
      </c>
      <c r="U214" t="s">
        <v>51</v>
      </c>
      <c r="V214" t="s">
        <v>63</v>
      </c>
      <c r="W214" t="s">
        <v>492</v>
      </c>
      <c r="X214" t="s">
        <v>59</v>
      </c>
      <c r="Y214">
        <v>9007199254741202</v>
      </c>
      <c r="Z214">
        <v>0</v>
      </c>
      <c r="AA214" t="s">
        <v>63</v>
      </c>
      <c r="AB214" t="b">
        <v>1</v>
      </c>
      <c r="AD214" s="3">
        <v>0.125</v>
      </c>
      <c r="AE214" s="2">
        <v>45915.5</v>
      </c>
      <c r="AF214" t="s">
        <v>60</v>
      </c>
    </row>
    <row r="215">
      <c r="A215" t="s">
        <v>493</v>
      </c>
      <c r="B215" s="2">
        <v>45914.5</v>
      </c>
      <c r="C215" t="s">
        <v>37</v>
      </c>
      <c r="D215" t="s">
        <f>'客户档案'!B3</f>
        <v>38</v>
      </c>
      <c r="E215" t="s">
        <v>64</v>
      </c>
      <c r="F215" t="s">
        <v>65</v>
      </c>
      <c r="G215" t="s">
        <f>'商品目录'!B5</f>
        <v>66</v>
      </c>
      <c r="H215" t="s">
        <v>67</v>
      </c>
      <c r="I215">
        <v>2</v>
      </c>
      <c r="J215" s="4">
        <v>45</v>
      </c>
      <c r="K215" s="4">
        <f>I215*J215</f>
        <v>90</v>
      </c>
      <c r="L215" s="3">
        <v>0</v>
      </c>
      <c r="M215" s="4">
        <f>K215*L215</f>
        <v>0</v>
      </c>
      <c r="N215" s="4">
        <v>0</v>
      </c>
      <c r="O215" s="4">
        <f>K215-M215+N215</f>
        <v>90</v>
      </c>
      <c r="P215" t="s">
        <v>43</v>
      </c>
      <c r="Q215" t="b">
        <v>1</v>
      </c>
      <c r="R215" t="s">
        <v>55</v>
      </c>
      <c r="S215" t="s">
        <v>45</v>
      </c>
      <c r="T215" t="s">
        <v>46</v>
      </c>
      <c r="U215" t="s">
        <v>70</v>
      </c>
      <c r="V215" t="s">
        <v>38</v>
      </c>
      <c r="W215" t="s">
        <v>494</v>
      </c>
      <c r="X215" t="s">
        <v>72</v>
      </c>
      <c r="Y215">
        <v>9007199254741203</v>
      </c>
      <c r="Z215">
        <v>0</v>
      </c>
      <c r="AA215" t="s">
        <v>38</v>
      </c>
      <c r="AB215" t="b">
        <v>0</v>
      </c>
      <c r="AD215" s="3">
        <v>0.125</v>
      </c>
      <c r="AE215" s="2">
        <v>45916.5</v>
      </c>
      <c r="AF215" t="s">
        <v>60</v>
      </c>
    </row>
    <row r="216">
      <c r="A216" t="s">
        <v>495</v>
      </c>
      <c r="B216" s="2">
        <v>45915.5</v>
      </c>
      <c r="C216" t="s">
        <v>49</v>
      </c>
      <c r="D216" t="s">
        <f>'客户档案'!B4</f>
        <v>50</v>
      </c>
      <c r="E216" t="s">
        <v>74</v>
      </c>
      <c r="F216" t="s">
        <v>75</v>
      </c>
      <c r="G216" t="s">
        <f>'商品目录'!B6</f>
        <v>76</v>
      </c>
      <c r="H216" t="s">
        <v>77</v>
      </c>
      <c r="I216">
        <v>4</v>
      </c>
      <c r="J216" s="4">
        <v>8</v>
      </c>
      <c r="K216" s="4">
        <f>I216*J216</f>
        <v>32</v>
      </c>
      <c r="L216" s="3">
        <v>0.5</v>
      </c>
      <c r="M216" s="4">
        <f>K216*L216</f>
        <v>16</v>
      </c>
      <c r="N216" s="4">
        <v>10</v>
      </c>
      <c r="O216" s="4">
        <f>K216-M216+N216</f>
        <v>26</v>
      </c>
      <c r="P216" t="s">
        <v>43</v>
      </c>
      <c r="Q216" t="b">
        <v>1</v>
      </c>
      <c r="R216" t="s">
        <v>55</v>
      </c>
      <c r="S216" t="s">
        <v>56</v>
      </c>
      <c r="T216" t="s">
        <v>57</v>
      </c>
      <c r="U216" t="s">
        <v>78</v>
      </c>
      <c r="V216" t="s">
        <v>50</v>
      </c>
      <c r="W216" t="s">
        <v>496</v>
      </c>
      <c r="X216" t="s">
        <v>80</v>
      </c>
      <c r="Y216">
        <v>9007199254741204</v>
      </c>
      <c r="Z216">
        <v>0</v>
      </c>
      <c r="AA216" t="s">
        <v>50</v>
      </c>
      <c r="AB216" t="b">
        <v>1</v>
      </c>
      <c r="AD216" s="3">
        <v>0.125</v>
      </c>
      <c r="AE216" s="2">
        <v>45917.5</v>
      </c>
      <c r="AF216" t="s">
        <v>60</v>
      </c>
    </row>
    <row r="217">
      <c r="A217" t="s">
        <v>497</v>
      </c>
      <c r="B217" s="2">
        <v>45916.5</v>
      </c>
      <c r="C217" t="s">
        <v>62</v>
      </c>
      <c r="D217" t="s">
        <f>'客户档案'!B5</f>
        <v>63</v>
      </c>
      <c r="E217" t="s">
        <v>39</v>
      </c>
      <c r="F217" t="s">
        <v>40</v>
      </c>
      <c r="G217" t="s">
        <f>'商品目录'!B3</f>
        <v>41</v>
      </c>
      <c r="H217" t="s">
        <v>42</v>
      </c>
      <c r="I217">
        <v>6</v>
      </c>
      <c r="J217" s="4">
        <v>99</v>
      </c>
      <c r="K217" s="4">
        <f>I217*J217</f>
        <v>594</v>
      </c>
      <c r="L217" s="3">
        <v>0</v>
      </c>
      <c r="M217" s="4">
        <f>K217*L217</f>
        <v>0</v>
      </c>
      <c r="N217" s="4">
        <v>20</v>
      </c>
      <c r="O217" s="4">
        <f>K217-M217+N217</f>
        <v>614</v>
      </c>
      <c r="P217" t="s">
        <v>43</v>
      </c>
      <c r="Q217" t="b">
        <v>0</v>
      </c>
      <c r="R217" t="s">
        <v>44</v>
      </c>
      <c r="S217" t="s">
        <v>68</v>
      </c>
      <c r="T217" t="s">
        <v>69</v>
      </c>
      <c r="U217" t="s">
        <v>39</v>
      </c>
      <c r="V217" t="s">
        <v>63</v>
      </c>
      <c r="W217" t="s">
        <v>498</v>
      </c>
      <c r="X217" t="s">
        <v>0</v>
      </c>
      <c r="Y217">
        <v>9007199254741205</v>
      </c>
      <c r="Z217">
        <v>0</v>
      </c>
      <c r="AA217" t="s">
        <v>63</v>
      </c>
      <c r="AB217" t="b">
        <v>0</v>
      </c>
      <c r="AD217" s="3">
        <v>0.125</v>
      </c>
      <c r="AE217" s="2">
        <v>45918.5</v>
      </c>
      <c r="AF217" t="s">
        <v>60</v>
      </c>
    </row>
    <row r="218">
      <c r="A218" t="s">
        <v>499</v>
      </c>
      <c r="B218" s="2">
        <v>45917.5</v>
      </c>
      <c r="C218" t="s">
        <v>37</v>
      </c>
      <c r="D218" t="s">
        <f>'客户档案'!B3</f>
        <v>38</v>
      </c>
      <c r="E218" t="s">
        <v>51</v>
      </c>
      <c r="F218" t="s">
        <v>52</v>
      </c>
      <c r="G218" t="s">
        <f>'商品目录'!B4</f>
        <v>53</v>
      </c>
      <c r="H218" t="s">
        <v>54</v>
      </c>
      <c r="I218">
        <v>8</v>
      </c>
      <c r="J218" s="4">
        <v>129</v>
      </c>
      <c r="K218" s="4">
        <f>I218*J218</f>
        <v>1032</v>
      </c>
      <c r="L218" s="3">
        <v>0.5</v>
      </c>
      <c r="M218" s="4">
        <f>K218*L218</f>
        <v>516</v>
      </c>
      <c r="N218" s="4">
        <v>0</v>
      </c>
      <c r="O218" s="4">
        <f>K218-M218+N218</f>
        <v>516</v>
      </c>
      <c r="P218" t="s">
        <v>43</v>
      </c>
      <c r="Q218" t="b">
        <v>1</v>
      </c>
      <c r="R218" t="s">
        <v>55</v>
      </c>
      <c r="S218" t="s">
        <v>45</v>
      </c>
      <c r="T218" t="s">
        <v>46</v>
      </c>
      <c r="U218" t="s">
        <v>51</v>
      </c>
      <c r="V218" t="s">
        <v>38</v>
      </c>
      <c r="W218" t="s">
        <v>500</v>
      </c>
      <c r="X218" t="s">
        <v>59</v>
      </c>
      <c r="Y218">
        <v>9007199254741206</v>
      </c>
      <c r="Z218">
        <v>0</v>
      </c>
      <c r="AA218" t="s">
        <v>38</v>
      </c>
      <c r="AB218" t="b">
        <v>1</v>
      </c>
      <c r="AD218" s="3">
        <v>0.125</v>
      </c>
      <c r="AE218" s="2">
        <v>45919.5</v>
      </c>
      <c r="AF218" t="s">
        <v>60</v>
      </c>
    </row>
    <row r="219">
      <c r="A219" t="s">
        <v>501</v>
      </c>
      <c r="B219" s="2">
        <v>45918.5</v>
      </c>
      <c r="C219" t="s">
        <v>49</v>
      </c>
      <c r="D219" t="s">
        <f>'客户档案'!B4</f>
        <v>50</v>
      </c>
      <c r="E219" t="s">
        <v>64</v>
      </c>
      <c r="F219" t="s">
        <v>65</v>
      </c>
      <c r="G219" t="s">
        <f>'商品目录'!B5</f>
        <v>66</v>
      </c>
      <c r="H219" t="s">
        <v>67</v>
      </c>
      <c r="I219">
        <v>10</v>
      </c>
      <c r="J219" s="4">
        <v>45</v>
      </c>
      <c r="K219" s="4">
        <f>I219*J219</f>
        <v>450</v>
      </c>
      <c r="L219" s="3">
        <v>0</v>
      </c>
      <c r="M219" s="4">
        <f>K219*L219</f>
        <v>0</v>
      </c>
      <c r="N219" s="4">
        <v>10</v>
      </c>
      <c r="O219" s="4">
        <f>K219-M219+N219</f>
        <v>460</v>
      </c>
      <c r="P219" t="s">
        <v>43</v>
      </c>
      <c r="Q219" t="b">
        <v>1</v>
      </c>
      <c r="R219" t="s">
        <v>55</v>
      </c>
      <c r="S219" t="s">
        <v>56</v>
      </c>
      <c r="T219" t="s">
        <v>57</v>
      </c>
      <c r="U219" t="s">
        <v>70</v>
      </c>
      <c r="V219" t="s">
        <v>50</v>
      </c>
      <c r="W219" t="s">
        <v>502</v>
      </c>
      <c r="X219" t="s">
        <v>72</v>
      </c>
      <c r="Y219">
        <v>9007199254741207</v>
      </c>
      <c r="Z219">
        <v>0</v>
      </c>
      <c r="AA219" t="s">
        <v>50</v>
      </c>
      <c r="AB219" t="b">
        <v>0</v>
      </c>
      <c r="AD219" s="3">
        <v>0.125</v>
      </c>
      <c r="AE219" s="2">
        <v>45920.5</v>
      </c>
      <c r="AF219" t="s">
        <v>60</v>
      </c>
    </row>
    <row r="220">
      <c r="A220" t="s">
        <v>503</v>
      </c>
      <c r="B220" s="2">
        <v>45919.5</v>
      </c>
      <c r="C220" t="s">
        <v>62</v>
      </c>
      <c r="D220" t="s">
        <f>'客户档案'!B5</f>
        <v>63</v>
      </c>
      <c r="E220" t="s">
        <v>74</v>
      </c>
      <c r="F220" t="s">
        <v>75</v>
      </c>
      <c r="G220" t="s">
        <f>'商品目录'!B6</f>
        <v>76</v>
      </c>
      <c r="H220" t="s">
        <v>77</v>
      </c>
      <c r="I220">
        <v>2</v>
      </c>
      <c r="J220" s="4">
        <v>8</v>
      </c>
      <c r="K220" s="4">
        <f>I220*J220</f>
        <v>16</v>
      </c>
      <c r="L220" s="3">
        <v>0.5</v>
      </c>
      <c r="M220" s="4">
        <f>K220*L220</f>
        <v>8</v>
      </c>
      <c r="N220" s="4">
        <v>20</v>
      </c>
      <c r="O220" s="4">
        <f>K220-M220+N220</f>
        <v>28</v>
      </c>
      <c r="P220" t="s">
        <v>43</v>
      </c>
      <c r="Q220" t="b">
        <v>1</v>
      </c>
      <c r="R220" t="s">
        <v>55</v>
      </c>
      <c r="S220" t="s">
        <v>68</v>
      </c>
      <c r="T220" t="s">
        <v>69</v>
      </c>
      <c r="U220" t="s">
        <v>78</v>
      </c>
      <c r="V220" t="s">
        <v>63</v>
      </c>
      <c r="W220" t="s">
        <v>504</v>
      </c>
      <c r="X220" t="s">
        <v>80</v>
      </c>
      <c r="Y220">
        <v>9007199254741208</v>
      </c>
      <c r="Z220">
        <v>0</v>
      </c>
      <c r="AA220" t="s">
        <v>63</v>
      </c>
      <c r="AB220" t="b">
        <v>1</v>
      </c>
      <c r="AD220" s="3">
        <v>0.125</v>
      </c>
      <c r="AE220" s="2">
        <v>45921.5</v>
      </c>
      <c r="AF220" t="s">
        <v>60</v>
      </c>
    </row>
    <row r="221">
      <c r="A221" t="s">
        <v>505</v>
      </c>
      <c r="B221" s="2">
        <v>45920.5</v>
      </c>
      <c r="C221" t="s">
        <v>37</v>
      </c>
      <c r="D221" t="s">
        <f>'客户档案'!B3</f>
        <v>38</v>
      </c>
      <c r="E221" t="s">
        <v>39</v>
      </c>
      <c r="F221" t="s">
        <v>40</v>
      </c>
      <c r="G221" t="s">
        <f>'商品目录'!B3</f>
        <v>41</v>
      </c>
      <c r="H221" t="s">
        <v>42</v>
      </c>
      <c r="I221">
        <v>4</v>
      </c>
      <c r="J221" s="4">
        <v>99</v>
      </c>
      <c r="K221" s="4">
        <f>I221*J221</f>
        <v>396</v>
      </c>
      <c r="L221" s="3">
        <v>0</v>
      </c>
      <c r="M221" s="4">
        <f>K221*L221</f>
        <v>0</v>
      </c>
      <c r="N221" s="4">
        <v>0</v>
      </c>
      <c r="O221" s="4">
        <f>K221-M221+N221</f>
        <v>396</v>
      </c>
      <c r="P221" t="s">
        <v>43</v>
      </c>
      <c r="Q221" t="b">
        <v>0</v>
      </c>
      <c r="R221" t="s">
        <v>44</v>
      </c>
      <c r="S221" t="s">
        <v>45</v>
      </c>
      <c r="T221" t="s">
        <v>46</v>
      </c>
      <c r="U221" t="s">
        <v>39</v>
      </c>
      <c r="V221" t="s">
        <v>38</v>
      </c>
      <c r="W221" t="s">
        <v>506</v>
      </c>
      <c r="X221" t="s">
        <v>0</v>
      </c>
      <c r="Y221">
        <v>9007199254741209</v>
      </c>
      <c r="Z221">
        <v>0</v>
      </c>
      <c r="AA221" t="s">
        <v>38</v>
      </c>
      <c r="AB221" t="b">
        <v>0</v>
      </c>
      <c r="AD221" s="3">
        <v>0.125</v>
      </c>
      <c r="AE221" s="2">
        <v>45922.5</v>
      </c>
      <c r="AF221" t="s">
        <v>60</v>
      </c>
    </row>
    <row r="222">
      <c r="A222" t="s">
        <v>507</v>
      </c>
      <c r="B222" s="2">
        <v>45921.5</v>
      </c>
      <c r="C222" t="s">
        <v>49</v>
      </c>
      <c r="D222" t="s">
        <f>'客户档案'!B4</f>
        <v>50</v>
      </c>
      <c r="E222" t="s">
        <v>51</v>
      </c>
      <c r="F222" t="s">
        <v>52</v>
      </c>
      <c r="G222" t="s">
        <f>'商品目录'!B4</f>
        <v>53</v>
      </c>
      <c r="H222" t="s">
        <v>54</v>
      </c>
      <c r="I222">
        <v>6</v>
      </c>
      <c r="J222" s="4">
        <v>129</v>
      </c>
      <c r="K222" s="4">
        <f>I222*J222</f>
        <v>774</v>
      </c>
      <c r="L222" s="3">
        <v>0.5</v>
      </c>
      <c r="M222" s="4">
        <f>K222*L222</f>
        <v>387</v>
      </c>
      <c r="N222" s="4">
        <v>10</v>
      </c>
      <c r="O222" s="4">
        <f>K222-M222+N222</f>
        <v>397</v>
      </c>
      <c r="P222" t="s">
        <v>43</v>
      </c>
      <c r="Q222" t="b">
        <v>1</v>
      </c>
      <c r="R222" t="s">
        <v>55</v>
      </c>
      <c r="S222" t="s">
        <v>56</v>
      </c>
      <c r="T222" t="s">
        <v>57</v>
      </c>
      <c r="U222" t="s">
        <v>51</v>
      </c>
      <c r="V222" t="s">
        <v>50</v>
      </c>
      <c r="W222" t="s">
        <v>508</v>
      </c>
      <c r="X222" t="s">
        <v>59</v>
      </c>
      <c r="Y222">
        <v>9007199254741210</v>
      </c>
      <c r="Z222">
        <v>0</v>
      </c>
      <c r="AA222" t="s">
        <v>50</v>
      </c>
      <c r="AB222" t="b">
        <v>1</v>
      </c>
      <c r="AD222" s="3">
        <v>0.125</v>
      </c>
      <c r="AE222" s="2">
        <v>45923.5</v>
      </c>
      <c r="AF222" t="s">
        <v>60</v>
      </c>
    </row>
    <row r="223">
      <c r="A223" t="s">
        <v>509</v>
      </c>
      <c r="B223" s="2">
        <v>45922.5</v>
      </c>
      <c r="C223" t="s">
        <v>62</v>
      </c>
      <c r="D223" t="s">
        <f>'客户档案'!B5</f>
        <v>63</v>
      </c>
      <c r="E223" t="s">
        <v>64</v>
      </c>
      <c r="F223" t="s">
        <v>65</v>
      </c>
      <c r="G223" t="s">
        <f>'商品目录'!B5</f>
        <v>66</v>
      </c>
      <c r="H223" t="s">
        <v>67</v>
      </c>
      <c r="I223">
        <v>8</v>
      </c>
      <c r="J223" s="4">
        <v>45</v>
      </c>
      <c r="K223" s="4">
        <f>I223*J223</f>
        <v>360</v>
      </c>
      <c r="L223" s="3">
        <v>0</v>
      </c>
      <c r="M223" s="4">
        <f>K223*L223</f>
        <v>0</v>
      </c>
      <c r="N223" s="4">
        <v>20</v>
      </c>
      <c r="O223" s="4">
        <f>K223-M223+N223</f>
        <v>380</v>
      </c>
      <c r="P223" t="s">
        <v>43</v>
      </c>
      <c r="Q223" t="b">
        <v>1</v>
      </c>
      <c r="R223" t="s">
        <v>55</v>
      </c>
      <c r="S223" t="s">
        <v>68</v>
      </c>
      <c r="T223" t="s">
        <v>69</v>
      </c>
      <c r="U223" t="s">
        <v>70</v>
      </c>
      <c r="V223" t="s">
        <v>63</v>
      </c>
      <c r="W223" t="s">
        <v>510</v>
      </c>
      <c r="X223" t="s">
        <v>72</v>
      </c>
      <c r="Y223">
        <v>9007199254741211</v>
      </c>
      <c r="Z223">
        <v>0</v>
      </c>
      <c r="AA223" t="s">
        <v>63</v>
      </c>
      <c r="AB223" t="b">
        <v>0</v>
      </c>
      <c r="AD223" s="3">
        <v>0.125</v>
      </c>
      <c r="AE223" s="2">
        <v>45924.5</v>
      </c>
      <c r="AF223" t="s">
        <v>60</v>
      </c>
    </row>
    <row r="224">
      <c r="A224" t="s">
        <v>511</v>
      </c>
      <c r="B224" s="2">
        <v>45923.5</v>
      </c>
      <c r="C224" t="s">
        <v>37</v>
      </c>
      <c r="D224" t="s">
        <f>'客户档案'!B3</f>
        <v>38</v>
      </c>
      <c r="E224" t="s">
        <v>74</v>
      </c>
      <c r="F224" t="s">
        <v>75</v>
      </c>
      <c r="G224" t="s">
        <f>'商品目录'!B6</f>
        <v>76</v>
      </c>
      <c r="H224" t="s">
        <v>77</v>
      </c>
      <c r="I224">
        <v>10</v>
      </c>
      <c r="J224" s="4">
        <v>8</v>
      </c>
      <c r="K224" s="4">
        <f>I224*J224</f>
        <v>80</v>
      </c>
      <c r="L224" s="3">
        <v>0.5</v>
      </c>
      <c r="M224" s="4">
        <f>K224*L224</f>
        <v>40</v>
      </c>
      <c r="N224" s="4">
        <v>0</v>
      </c>
      <c r="O224" s="4">
        <f>K224-M224+N224</f>
        <v>40</v>
      </c>
      <c r="P224" t="s">
        <v>43</v>
      </c>
      <c r="Q224" t="b">
        <v>1</v>
      </c>
      <c r="R224" t="s">
        <v>55</v>
      </c>
      <c r="S224" t="s">
        <v>45</v>
      </c>
      <c r="T224" t="s">
        <v>46</v>
      </c>
      <c r="U224" t="s">
        <v>78</v>
      </c>
      <c r="V224" t="s">
        <v>38</v>
      </c>
      <c r="W224" t="s">
        <v>512</v>
      </c>
      <c r="X224" t="s">
        <v>80</v>
      </c>
      <c r="Y224">
        <v>9007199254741212</v>
      </c>
      <c r="Z224">
        <v>0</v>
      </c>
      <c r="AA224" t="s">
        <v>38</v>
      </c>
      <c r="AB224" t="b">
        <v>1</v>
      </c>
      <c r="AD224" s="3">
        <v>0.125</v>
      </c>
      <c r="AE224" s="2">
        <v>45925.5</v>
      </c>
      <c r="AF224" t="s">
        <v>60</v>
      </c>
    </row>
    <row r="225">
      <c r="A225" t="s">
        <v>513</v>
      </c>
      <c r="B225" s="2">
        <v>45924.5</v>
      </c>
      <c r="C225" t="s">
        <v>49</v>
      </c>
      <c r="D225" t="s">
        <f>'客户档案'!B4</f>
        <v>50</v>
      </c>
      <c r="E225" t="s">
        <v>39</v>
      </c>
      <c r="F225" t="s">
        <v>40</v>
      </c>
      <c r="G225" t="s">
        <f>'商品目录'!B3</f>
        <v>41</v>
      </c>
      <c r="H225" t="s">
        <v>42</v>
      </c>
      <c r="I225">
        <v>2</v>
      </c>
      <c r="J225" s="4">
        <v>99</v>
      </c>
      <c r="K225" s="4">
        <f>I225*J225</f>
        <v>198</v>
      </c>
      <c r="L225" s="3">
        <v>0</v>
      </c>
      <c r="M225" s="4">
        <f>K225*L225</f>
        <v>0</v>
      </c>
      <c r="N225" s="4">
        <v>10</v>
      </c>
      <c r="O225" s="4">
        <f>K225-M225+N225</f>
        <v>208</v>
      </c>
      <c r="P225" t="s">
        <v>43</v>
      </c>
      <c r="Q225" t="b">
        <v>0</v>
      </c>
      <c r="R225" t="s">
        <v>44</v>
      </c>
      <c r="S225" t="s">
        <v>56</v>
      </c>
      <c r="T225" t="s">
        <v>57</v>
      </c>
      <c r="U225" t="s">
        <v>39</v>
      </c>
      <c r="V225" t="s">
        <v>50</v>
      </c>
      <c r="W225" t="s">
        <v>514</v>
      </c>
      <c r="X225" t="s">
        <v>0</v>
      </c>
      <c r="Y225">
        <v>9007199254741213</v>
      </c>
      <c r="Z225">
        <v>0</v>
      </c>
      <c r="AA225" t="s">
        <v>50</v>
      </c>
      <c r="AB225" t="b">
        <v>0</v>
      </c>
      <c r="AD225" s="3">
        <v>0.125</v>
      </c>
      <c r="AE225" s="2">
        <v>45926.5</v>
      </c>
      <c r="AF225" t="s">
        <v>60</v>
      </c>
    </row>
    <row r="226">
      <c r="A226" t="s">
        <v>515</v>
      </c>
      <c r="B226" s="2">
        <v>45925.5</v>
      </c>
      <c r="C226" t="s">
        <v>62</v>
      </c>
      <c r="D226" t="s">
        <f>'客户档案'!B5</f>
        <v>63</v>
      </c>
      <c r="E226" t="s">
        <v>51</v>
      </c>
      <c r="F226" t="s">
        <v>52</v>
      </c>
      <c r="G226" t="s">
        <f>'商品目录'!B4</f>
        <v>53</v>
      </c>
      <c r="H226" t="s">
        <v>54</v>
      </c>
      <c r="I226">
        <v>4</v>
      </c>
      <c r="J226" s="4">
        <v>129</v>
      </c>
      <c r="K226" s="4">
        <f>I226*J226</f>
        <v>516</v>
      </c>
      <c r="L226" s="3">
        <v>0.5</v>
      </c>
      <c r="M226" s="4">
        <f>K226*L226</f>
        <v>258</v>
      </c>
      <c r="N226" s="4">
        <v>20</v>
      </c>
      <c r="O226" s="4">
        <f>K226-M226+N226</f>
        <v>278</v>
      </c>
      <c r="P226" t="s">
        <v>43</v>
      </c>
      <c r="Q226" t="b">
        <v>1</v>
      </c>
      <c r="R226" t="s">
        <v>55</v>
      </c>
      <c r="S226" t="s">
        <v>68</v>
      </c>
      <c r="T226" t="s">
        <v>69</v>
      </c>
      <c r="U226" t="s">
        <v>51</v>
      </c>
      <c r="V226" t="s">
        <v>63</v>
      </c>
      <c r="W226" t="s">
        <v>516</v>
      </c>
      <c r="X226" t="s">
        <v>59</v>
      </c>
      <c r="Y226">
        <v>9007199254741214</v>
      </c>
      <c r="Z226">
        <v>2</v>
      </c>
      <c r="AA226" t="s">
        <v>63</v>
      </c>
      <c r="AB226" t="b">
        <v>1</v>
      </c>
      <c r="AD226" s="3">
        <v>0.125</v>
      </c>
      <c r="AE226" s="2">
        <v>45927.5</v>
      </c>
      <c r="AF226" t="s">
        <v>60</v>
      </c>
    </row>
    <row r="227">
      <c r="A227" t="s">
        <v>517</v>
      </c>
      <c r="B227" s="2">
        <v>45926.5</v>
      </c>
      <c r="C227" t="s">
        <v>37</v>
      </c>
      <c r="D227" t="s">
        <f>'客户档案'!B3</f>
        <v>38</v>
      </c>
      <c r="E227" t="s">
        <v>64</v>
      </c>
      <c r="F227" t="s">
        <v>65</v>
      </c>
      <c r="G227" t="s">
        <f>'商品目录'!B5</f>
        <v>66</v>
      </c>
      <c r="H227" t="s">
        <v>67</v>
      </c>
      <c r="I227">
        <v>6</v>
      </c>
      <c r="J227" s="4">
        <v>45</v>
      </c>
      <c r="K227" s="4">
        <f>I227*J227</f>
        <v>270</v>
      </c>
      <c r="L227" s="3">
        <v>0</v>
      </c>
      <c r="M227" s="4">
        <f>K227*L227</f>
        <v>0</v>
      </c>
      <c r="N227" s="4">
        <v>0</v>
      </c>
      <c r="O227" s="4">
        <f>K227-M227+N227</f>
        <v>270</v>
      </c>
      <c r="P227" t="s">
        <v>43</v>
      </c>
      <c r="Q227" t="b">
        <v>1</v>
      </c>
      <c r="R227" t="s">
        <v>55</v>
      </c>
      <c r="S227" t="s">
        <v>45</v>
      </c>
      <c r="T227" t="s">
        <v>46</v>
      </c>
      <c r="U227" t="s">
        <v>70</v>
      </c>
      <c r="V227" t="s">
        <v>38</v>
      </c>
      <c r="W227" t="s">
        <v>518</v>
      </c>
      <c r="X227" t="s">
        <v>72</v>
      </c>
      <c r="Y227">
        <v>9007199254741215</v>
      </c>
      <c r="Z227">
        <v>0</v>
      </c>
      <c r="AA227" t="s">
        <v>38</v>
      </c>
      <c r="AB227" t="b">
        <v>0</v>
      </c>
      <c r="AD227" s="3">
        <v>0.125</v>
      </c>
      <c r="AE227" s="2">
        <v>45928.5</v>
      </c>
      <c r="AF227" t="s">
        <v>60</v>
      </c>
    </row>
    <row r="228">
      <c r="A228" t="s">
        <v>519</v>
      </c>
      <c r="B228" s="2">
        <v>45927.5</v>
      </c>
      <c r="C228" t="s">
        <v>49</v>
      </c>
      <c r="D228" t="s">
        <f>'客户档案'!B4</f>
        <v>50</v>
      </c>
      <c r="E228" t="s">
        <v>74</v>
      </c>
      <c r="F228" t="s">
        <v>75</v>
      </c>
      <c r="G228" t="s">
        <f>'商品目录'!B6</f>
        <v>76</v>
      </c>
      <c r="H228" t="s">
        <v>77</v>
      </c>
      <c r="I228">
        <v>8</v>
      </c>
      <c r="J228" s="4">
        <v>8</v>
      </c>
      <c r="K228" s="4">
        <f>I228*J228</f>
        <v>64</v>
      </c>
      <c r="L228" s="3">
        <v>0.5</v>
      </c>
      <c r="M228" s="4">
        <f>K228*L228</f>
        <v>32</v>
      </c>
      <c r="N228" s="4">
        <v>10</v>
      </c>
      <c r="O228" s="4">
        <f>K228-M228+N228</f>
        <v>42</v>
      </c>
      <c r="P228" t="s">
        <v>43</v>
      </c>
      <c r="Q228" t="b">
        <v>1</v>
      </c>
      <c r="R228" t="s">
        <v>55</v>
      </c>
      <c r="S228" t="s">
        <v>56</v>
      </c>
      <c r="T228" t="s">
        <v>57</v>
      </c>
      <c r="U228" t="s">
        <v>78</v>
      </c>
      <c r="V228" t="s">
        <v>50</v>
      </c>
      <c r="W228" t="s">
        <v>520</v>
      </c>
      <c r="X228" t="s">
        <v>80</v>
      </c>
      <c r="Y228">
        <v>9007199254741216</v>
      </c>
      <c r="Z228">
        <v>0</v>
      </c>
      <c r="AA228" t="s">
        <v>50</v>
      </c>
      <c r="AB228" t="b">
        <v>1</v>
      </c>
      <c r="AD228" s="3">
        <v>0.125</v>
      </c>
      <c r="AE228" s="2">
        <v>45929.5</v>
      </c>
      <c r="AF228" t="s">
        <v>60</v>
      </c>
    </row>
    <row r="229">
      <c r="A229" t="s">
        <v>521</v>
      </c>
      <c r="B229" s="2">
        <v>45900.5</v>
      </c>
      <c r="C229" t="s">
        <v>62</v>
      </c>
      <c r="D229" t="s">
        <f>'客户档案'!B5</f>
        <v>63</v>
      </c>
      <c r="E229" t="s">
        <v>39</v>
      </c>
      <c r="F229" t="s">
        <v>40</v>
      </c>
      <c r="G229" t="s">
        <f>'商品目录'!B3</f>
        <v>41</v>
      </c>
      <c r="H229" t="s">
        <v>42</v>
      </c>
      <c r="I229">
        <v>10</v>
      </c>
      <c r="J229" s="4">
        <v>99</v>
      </c>
      <c r="K229" s="4">
        <f>I229*J229</f>
        <v>990</v>
      </c>
      <c r="L229" s="3">
        <v>0</v>
      </c>
      <c r="M229" s="4">
        <f>K229*L229</f>
        <v>0</v>
      </c>
      <c r="N229" s="4">
        <v>20</v>
      </c>
      <c r="O229" s="4">
        <f>K229-M229+N229</f>
        <v>1010</v>
      </c>
      <c r="P229" t="s">
        <v>43</v>
      </c>
      <c r="Q229" t="b">
        <v>0</v>
      </c>
      <c r="R229" t="s">
        <v>44</v>
      </c>
      <c r="S229" t="s">
        <v>68</v>
      </c>
      <c r="T229" t="s">
        <v>69</v>
      </c>
      <c r="U229" t="s">
        <v>39</v>
      </c>
      <c r="V229" t="s">
        <v>63</v>
      </c>
      <c r="W229" t="s">
        <v>522</v>
      </c>
      <c r="X229" t="s">
        <v>0</v>
      </c>
      <c r="Y229">
        <v>9007199254741217</v>
      </c>
      <c r="Z229">
        <v>0</v>
      </c>
      <c r="AA229" t="s">
        <v>63</v>
      </c>
      <c r="AB229" t="b">
        <v>0</v>
      </c>
      <c r="AD229" s="3">
        <v>0.125</v>
      </c>
      <c r="AE229" s="2">
        <v>45902.5</v>
      </c>
      <c r="AF229" t="s">
        <v>60</v>
      </c>
    </row>
    <row r="230">
      <c r="A230" t="s">
        <v>523</v>
      </c>
      <c r="B230" s="2">
        <v>45901.5</v>
      </c>
      <c r="C230" t="s">
        <v>37</v>
      </c>
      <c r="D230" t="s">
        <f>'客户档案'!B3</f>
        <v>38</v>
      </c>
      <c r="E230" t="s">
        <v>51</v>
      </c>
      <c r="F230" t="s">
        <v>52</v>
      </c>
      <c r="G230" t="s">
        <f>'商品目录'!B4</f>
        <v>53</v>
      </c>
      <c r="H230" t="s">
        <v>54</v>
      </c>
      <c r="I230">
        <v>2</v>
      </c>
      <c r="J230" s="4">
        <v>129</v>
      </c>
      <c r="K230" s="4">
        <f>I230*J230</f>
        <v>258</v>
      </c>
      <c r="L230" s="3">
        <v>0.5</v>
      </c>
      <c r="M230" s="4">
        <f>K230*L230</f>
        <v>129</v>
      </c>
      <c r="N230" s="4">
        <v>0</v>
      </c>
      <c r="O230" s="4">
        <f>K230-M230+N230</f>
        <v>129</v>
      </c>
      <c r="P230" t="s">
        <v>43</v>
      </c>
      <c r="Q230" t="b">
        <v>1</v>
      </c>
      <c r="R230" t="s">
        <v>55</v>
      </c>
      <c r="S230" t="s">
        <v>45</v>
      </c>
      <c r="T230" t="s">
        <v>46</v>
      </c>
      <c r="U230" t="s">
        <v>51</v>
      </c>
      <c r="V230" t="s">
        <v>38</v>
      </c>
      <c r="W230" t="s">
        <v>524</v>
      </c>
      <c r="X230" t="s">
        <v>59</v>
      </c>
      <c r="Y230">
        <v>9007199254741218</v>
      </c>
      <c r="Z230">
        <v>0</v>
      </c>
      <c r="AA230" t="s">
        <v>38</v>
      </c>
      <c r="AB230" t="b">
        <v>1</v>
      </c>
      <c r="AD230" s="3">
        <v>0.125</v>
      </c>
      <c r="AE230" s="2">
        <v>45903.5</v>
      </c>
      <c r="AF230" t="s">
        <v>60</v>
      </c>
    </row>
    <row r="231">
      <c r="A231" t="s">
        <v>525</v>
      </c>
      <c r="B231" s="2">
        <v>45902.5</v>
      </c>
      <c r="C231" t="s">
        <v>49</v>
      </c>
      <c r="D231" t="s">
        <f>'客户档案'!B4</f>
        <v>50</v>
      </c>
      <c r="E231" t="s">
        <v>64</v>
      </c>
      <c r="F231" t="s">
        <v>65</v>
      </c>
      <c r="G231" t="s">
        <f>'商品目录'!B5</f>
        <v>66</v>
      </c>
      <c r="H231" t="s">
        <v>67</v>
      </c>
      <c r="I231">
        <v>4</v>
      </c>
      <c r="J231" s="4">
        <v>45</v>
      </c>
      <c r="K231" s="4">
        <f>I231*J231</f>
        <v>180</v>
      </c>
      <c r="L231" s="3">
        <v>0</v>
      </c>
      <c r="M231" s="4">
        <f>K231*L231</f>
        <v>0</v>
      </c>
      <c r="N231" s="4">
        <v>10</v>
      </c>
      <c r="O231" s="4">
        <f>K231-M231+N231</f>
        <v>190</v>
      </c>
      <c r="P231" t="s">
        <v>43</v>
      </c>
      <c r="Q231" t="b">
        <v>1</v>
      </c>
      <c r="R231" t="s">
        <v>55</v>
      </c>
      <c r="S231" t="s">
        <v>56</v>
      </c>
      <c r="T231" t="s">
        <v>57</v>
      </c>
      <c r="U231" t="s">
        <v>70</v>
      </c>
      <c r="V231" t="s">
        <v>50</v>
      </c>
      <c r="W231" t="s">
        <v>526</v>
      </c>
      <c r="X231" t="s">
        <v>72</v>
      </c>
      <c r="Y231">
        <v>9007199254741219</v>
      </c>
      <c r="Z231">
        <v>0</v>
      </c>
      <c r="AA231" t="s">
        <v>50</v>
      </c>
      <c r="AB231" t="b">
        <v>0</v>
      </c>
      <c r="AD231" s="3">
        <v>0.125</v>
      </c>
      <c r="AE231" s="2">
        <v>45904.5</v>
      </c>
      <c r="AF231" t="s">
        <v>60</v>
      </c>
    </row>
    <row r="232">
      <c r="A232" t="s">
        <v>527</v>
      </c>
      <c r="B232" s="2">
        <v>45903.5</v>
      </c>
      <c r="C232" t="s">
        <v>62</v>
      </c>
      <c r="D232" t="s">
        <f>'客户档案'!B5</f>
        <v>63</v>
      </c>
      <c r="E232" t="s">
        <v>74</v>
      </c>
      <c r="F232" t="s">
        <v>75</v>
      </c>
      <c r="G232" t="s">
        <f>'商品目录'!B6</f>
        <v>76</v>
      </c>
      <c r="H232" t="s">
        <v>77</v>
      </c>
      <c r="I232">
        <v>6</v>
      </c>
      <c r="J232" s="4">
        <v>8</v>
      </c>
      <c r="K232" s="4">
        <f>I232*J232</f>
        <v>48</v>
      </c>
      <c r="L232" s="3">
        <v>0.5</v>
      </c>
      <c r="M232" s="4">
        <f>K232*L232</f>
        <v>24</v>
      </c>
      <c r="N232" s="4">
        <v>20</v>
      </c>
      <c r="O232" s="4">
        <f>K232-M232+N232</f>
        <v>44</v>
      </c>
      <c r="P232" t="s">
        <v>43</v>
      </c>
      <c r="Q232" t="b">
        <v>1</v>
      </c>
      <c r="R232" t="s">
        <v>55</v>
      </c>
      <c r="S232" t="s">
        <v>68</v>
      </c>
      <c r="T232" t="s">
        <v>69</v>
      </c>
      <c r="U232" t="s">
        <v>78</v>
      </c>
      <c r="V232" t="s">
        <v>63</v>
      </c>
      <c r="W232" t="s">
        <v>528</v>
      </c>
      <c r="X232" t="s">
        <v>80</v>
      </c>
      <c r="Y232">
        <v>9007199254741220</v>
      </c>
      <c r="Z232">
        <v>0</v>
      </c>
      <c r="AA232" t="s">
        <v>63</v>
      </c>
      <c r="AB232" t="b">
        <v>1</v>
      </c>
      <c r="AD232" s="3">
        <v>0.125</v>
      </c>
      <c r="AE232" s="2">
        <v>45905.5</v>
      </c>
      <c r="AF232" t="s">
        <v>60</v>
      </c>
    </row>
    <row r="233">
      <c r="A233" t="s">
        <v>529</v>
      </c>
      <c r="B233" s="2">
        <v>45904.5</v>
      </c>
      <c r="C233" t="s">
        <v>37</v>
      </c>
      <c r="D233" t="s">
        <f>'客户档案'!B3</f>
        <v>38</v>
      </c>
      <c r="E233" t="s">
        <v>39</v>
      </c>
      <c r="F233" t="s">
        <v>40</v>
      </c>
      <c r="G233" t="s">
        <f>'商品目录'!B3</f>
        <v>41</v>
      </c>
      <c r="H233" t="s">
        <v>42</v>
      </c>
      <c r="I233">
        <v>8</v>
      </c>
      <c r="J233" s="4">
        <v>99</v>
      </c>
      <c r="K233" s="4">
        <f>I233*J233</f>
        <v>792</v>
      </c>
      <c r="L233" s="3">
        <v>0</v>
      </c>
      <c r="M233" s="4">
        <f>K233*L233</f>
        <v>0</v>
      </c>
      <c r="N233" s="4">
        <v>0</v>
      </c>
      <c r="O233" s="4">
        <f>K233-M233+N233</f>
        <v>792</v>
      </c>
      <c r="P233" t="s">
        <v>43</v>
      </c>
      <c r="Q233" t="b">
        <v>0</v>
      </c>
      <c r="R233" t="s">
        <v>44</v>
      </c>
      <c r="S233" t="s">
        <v>45</v>
      </c>
      <c r="T233" t="s">
        <v>46</v>
      </c>
      <c r="U233" t="s">
        <v>39</v>
      </c>
      <c r="V233" t="s">
        <v>38</v>
      </c>
      <c r="W233" t="s">
        <v>530</v>
      </c>
      <c r="X233" t="s">
        <v>0</v>
      </c>
      <c r="Y233">
        <v>9007199254741221</v>
      </c>
      <c r="Z233">
        <v>0</v>
      </c>
      <c r="AA233" t="s">
        <v>38</v>
      </c>
      <c r="AB233" t="b">
        <v>0</v>
      </c>
      <c r="AD233" s="3">
        <v>0.125</v>
      </c>
      <c r="AE233" s="2">
        <v>45906.5</v>
      </c>
      <c r="AF233" t="s">
        <v>60</v>
      </c>
    </row>
    <row r="234">
      <c r="A234" t="s">
        <v>531</v>
      </c>
      <c r="B234" s="2">
        <v>45905.5</v>
      </c>
      <c r="C234" t="s">
        <v>49</v>
      </c>
      <c r="D234" t="s">
        <f>'客户档案'!B4</f>
        <v>50</v>
      </c>
      <c r="E234" t="s">
        <v>51</v>
      </c>
      <c r="F234" t="s">
        <v>52</v>
      </c>
      <c r="G234" t="s">
        <f>'商品目录'!B4</f>
        <v>53</v>
      </c>
      <c r="H234" t="s">
        <v>54</v>
      </c>
      <c r="I234">
        <v>10</v>
      </c>
      <c r="J234" s="4">
        <v>129</v>
      </c>
      <c r="K234" s="4">
        <f>I234*J234</f>
        <v>1290</v>
      </c>
      <c r="L234" s="3">
        <v>0.5</v>
      </c>
      <c r="M234" s="4">
        <f>K234*L234</f>
        <v>645</v>
      </c>
      <c r="N234" s="4">
        <v>10</v>
      </c>
      <c r="O234" s="4">
        <f>K234-M234+N234</f>
        <v>655</v>
      </c>
      <c r="P234" t="s">
        <v>43</v>
      </c>
      <c r="Q234" t="b">
        <v>1</v>
      </c>
      <c r="R234" t="s">
        <v>55</v>
      </c>
      <c r="S234" t="s">
        <v>56</v>
      </c>
      <c r="T234" t="s">
        <v>57</v>
      </c>
      <c r="U234" t="s">
        <v>51</v>
      </c>
      <c r="V234" t="s">
        <v>50</v>
      </c>
      <c r="W234" t="s">
        <v>532</v>
      </c>
      <c r="X234" t="s">
        <v>59</v>
      </c>
      <c r="Y234">
        <v>9007199254741222</v>
      </c>
      <c r="Z234">
        <v>0</v>
      </c>
      <c r="AA234" t="s">
        <v>50</v>
      </c>
      <c r="AB234" t="b">
        <v>1</v>
      </c>
      <c r="AD234" s="3">
        <v>0.125</v>
      </c>
      <c r="AE234" s="2">
        <v>45907.5</v>
      </c>
      <c r="AF234" t="s">
        <v>60</v>
      </c>
    </row>
    <row r="235">
      <c r="A235" t="s">
        <v>533</v>
      </c>
      <c r="B235" s="2">
        <v>45906.5</v>
      </c>
      <c r="C235" t="s">
        <v>62</v>
      </c>
      <c r="D235" t="s">
        <f>'客户档案'!B5</f>
        <v>63</v>
      </c>
      <c r="E235" t="s">
        <v>64</v>
      </c>
      <c r="F235" t="s">
        <v>65</v>
      </c>
      <c r="G235" t="s">
        <f>'商品目录'!B5</f>
        <v>66</v>
      </c>
      <c r="H235" t="s">
        <v>67</v>
      </c>
      <c r="I235">
        <v>2</v>
      </c>
      <c r="J235" s="4">
        <v>45</v>
      </c>
      <c r="K235" s="4">
        <f>I235*J235</f>
        <v>90</v>
      </c>
      <c r="L235" s="3">
        <v>0</v>
      </c>
      <c r="M235" s="4">
        <f>K235*L235</f>
        <v>0</v>
      </c>
      <c r="N235" s="4">
        <v>20</v>
      </c>
      <c r="O235" s="4">
        <f>K235-M235+N235</f>
        <v>110</v>
      </c>
      <c r="P235" t="s">
        <v>43</v>
      </c>
      <c r="Q235" t="b">
        <v>1</v>
      </c>
      <c r="R235" t="s">
        <v>55</v>
      </c>
      <c r="S235" t="s">
        <v>68</v>
      </c>
      <c r="T235" t="s">
        <v>69</v>
      </c>
      <c r="U235" t="s">
        <v>70</v>
      </c>
      <c r="V235" t="s">
        <v>63</v>
      </c>
      <c r="W235" t="s">
        <v>534</v>
      </c>
      <c r="X235" t="s">
        <v>72</v>
      </c>
      <c r="Y235">
        <v>9007199254741223</v>
      </c>
      <c r="Z235">
        <v>0</v>
      </c>
      <c r="AA235" t="s">
        <v>63</v>
      </c>
      <c r="AB235" t="b">
        <v>0</v>
      </c>
      <c r="AD235" s="3">
        <v>0.125</v>
      </c>
      <c r="AE235" s="2">
        <v>45908.5</v>
      </c>
      <c r="AF235" t="s">
        <v>60</v>
      </c>
    </row>
    <row r="236">
      <c r="A236" t="s">
        <v>535</v>
      </c>
      <c r="B236" s="2">
        <v>45907.5</v>
      </c>
      <c r="C236" t="s">
        <v>37</v>
      </c>
      <c r="D236" t="s">
        <f>'客户档案'!B3</f>
        <v>38</v>
      </c>
      <c r="E236" t="s">
        <v>74</v>
      </c>
      <c r="F236" t="s">
        <v>75</v>
      </c>
      <c r="G236" t="s">
        <f>'商品目录'!B6</f>
        <v>76</v>
      </c>
      <c r="H236" t="s">
        <v>77</v>
      </c>
      <c r="I236">
        <v>4</v>
      </c>
      <c r="J236" s="4">
        <v>8</v>
      </c>
      <c r="K236" s="4">
        <f>I236*J236</f>
        <v>32</v>
      </c>
      <c r="L236" s="3">
        <v>0.5</v>
      </c>
      <c r="M236" s="4">
        <f>K236*L236</f>
        <v>16</v>
      </c>
      <c r="N236" s="4">
        <v>0</v>
      </c>
      <c r="O236" s="4">
        <f>K236-M236+N236</f>
        <v>16</v>
      </c>
      <c r="P236" t="s">
        <v>43</v>
      </c>
      <c r="Q236" t="b">
        <v>1</v>
      </c>
      <c r="R236" t="s">
        <v>55</v>
      </c>
      <c r="S236" t="s">
        <v>45</v>
      </c>
      <c r="T236" t="s">
        <v>46</v>
      </c>
      <c r="U236" t="s">
        <v>78</v>
      </c>
      <c r="V236" t="s">
        <v>38</v>
      </c>
      <c r="W236" t="s">
        <v>536</v>
      </c>
      <c r="X236" t="s">
        <v>80</v>
      </c>
      <c r="Y236">
        <v>9007199254741224</v>
      </c>
      <c r="Z236">
        <v>0</v>
      </c>
      <c r="AA236" t="s">
        <v>38</v>
      </c>
      <c r="AB236" t="b">
        <v>1</v>
      </c>
      <c r="AD236" s="3">
        <v>0.125</v>
      </c>
      <c r="AE236" s="2">
        <v>45909.5</v>
      </c>
      <c r="AF236" t="s">
        <v>60</v>
      </c>
    </row>
    <row r="237">
      <c r="A237" t="s">
        <v>537</v>
      </c>
      <c r="B237" s="2">
        <v>45908.5</v>
      </c>
      <c r="C237" t="s">
        <v>49</v>
      </c>
      <c r="D237" t="s">
        <f>'客户档案'!B4</f>
        <v>50</v>
      </c>
      <c r="E237" t="s">
        <v>39</v>
      </c>
      <c r="F237" t="s">
        <v>40</v>
      </c>
      <c r="G237" t="s">
        <f>'商品目录'!B3</f>
        <v>41</v>
      </c>
      <c r="H237" t="s">
        <v>42</v>
      </c>
      <c r="I237">
        <v>6</v>
      </c>
      <c r="J237" s="4">
        <v>99</v>
      </c>
      <c r="K237" s="4">
        <f>I237*J237</f>
        <v>594</v>
      </c>
      <c r="L237" s="3">
        <v>0</v>
      </c>
      <c r="M237" s="4">
        <f>K237*L237</f>
        <v>0</v>
      </c>
      <c r="N237" s="4">
        <v>10</v>
      </c>
      <c r="O237" s="4">
        <f>K237-M237+N237</f>
        <v>604</v>
      </c>
      <c r="P237" t="s">
        <v>43</v>
      </c>
      <c r="Q237" t="b">
        <v>0</v>
      </c>
      <c r="R237" t="s">
        <v>44</v>
      </c>
      <c r="S237" t="s">
        <v>56</v>
      </c>
      <c r="T237" t="s">
        <v>57</v>
      </c>
      <c r="U237" t="s">
        <v>39</v>
      </c>
      <c r="V237" t="s">
        <v>50</v>
      </c>
      <c r="W237" t="s">
        <v>538</v>
      </c>
      <c r="X237" t="s">
        <v>0</v>
      </c>
      <c r="Y237">
        <v>9007199254741225</v>
      </c>
      <c r="Z237">
        <v>0</v>
      </c>
      <c r="AA237" t="s">
        <v>50</v>
      </c>
      <c r="AB237" t="b">
        <v>0</v>
      </c>
      <c r="AD237" s="3">
        <v>0.125</v>
      </c>
      <c r="AE237" s="2">
        <v>45910.5</v>
      </c>
      <c r="AF237" t="s">
        <v>60</v>
      </c>
    </row>
    <row r="238">
      <c r="A238" t="s">
        <v>539</v>
      </c>
      <c r="B238" s="2">
        <v>45909.5</v>
      </c>
      <c r="C238" t="s">
        <v>62</v>
      </c>
      <c r="D238" t="s">
        <f>'客户档案'!B5</f>
        <v>63</v>
      </c>
      <c r="E238" t="s">
        <v>51</v>
      </c>
      <c r="F238" t="s">
        <v>52</v>
      </c>
      <c r="G238" t="s">
        <f>'商品目录'!B4</f>
        <v>53</v>
      </c>
      <c r="H238" t="s">
        <v>54</v>
      </c>
      <c r="I238">
        <v>8</v>
      </c>
      <c r="J238" s="4">
        <v>129</v>
      </c>
      <c r="K238" s="4">
        <f>I238*J238</f>
        <v>1032</v>
      </c>
      <c r="L238" s="3">
        <v>0.5</v>
      </c>
      <c r="M238" s="4">
        <f>K238*L238</f>
        <v>516</v>
      </c>
      <c r="N238" s="4">
        <v>20</v>
      </c>
      <c r="O238" s="4">
        <f>K238-M238+N238</f>
        <v>536</v>
      </c>
      <c r="P238" t="s">
        <v>43</v>
      </c>
      <c r="Q238" t="b">
        <v>1</v>
      </c>
      <c r="R238" t="s">
        <v>55</v>
      </c>
      <c r="S238" t="s">
        <v>68</v>
      </c>
      <c r="T238" t="s">
        <v>69</v>
      </c>
      <c r="U238" t="s">
        <v>51</v>
      </c>
      <c r="V238" t="s">
        <v>63</v>
      </c>
      <c r="W238" t="s">
        <v>540</v>
      </c>
      <c r="X238" t="s">
        <v>59</v>
      </c>
      <c r="Y238">
        <v>9007199254741226</v>
      </c>
      <c r="Z238">
        <v>0</v>
      </c>
      <c r="AA238" t="s">
        <v>63</v>
      </c>
      <c r="AB238" t="b">
        <v>1</v>
      </c>
      <c r="AD238" s="3">
        <v>0.125</v>
      </c>
      <c r="AE238" s="2">
        <v>45911.5</v>
      </c>
      <c r="AF238" t="s">
        <v>60</v>
      </c>
    </row>
    <row r="239">
      <c r="A239" t="s">
        <v>541</v>
      </c>
      <c r="B239" s="2">
        <v>45910.5</v>
      </c>
      <c r="C239" t="s">
        <v>37</v>
      </c>
      <c r="D239" t="s">
        <f>'客户档案'!B3</f>
        <v>38</v>
      </c>
      <c r="E239" t="s">
        <v>64</v>
      </c>
      <c r="F239" t="s">
        <v>65</v>
      </c>
      <c r="G239" t="s">
        <f>'商品目录'!B5</f>
        <v>66</v>
      </c>
      <c r="H239" t="s">
        <v>67</v>
      </c>
      <c r="I239">
        <v>10</v>
      </c>
      <c r="J239" s="4">
        <v>45</v>
      </c>
      <c r="K239" s="4">
        <f>I239*J239</f>
        <v>450</v>
      </c>
      <c r="L239" s="3">
        <v>0</v>
      </c>
      <c r="M239" s="4">
        <f>K239*L239</f>
        <v>0</v>
      </c>
      <c r="N239" s="4">
        <v>0</v>
      </c>
      <c r="O239" s="4">
        <f>K239-M239+N239</f>
        <v>450</v>
      </c>
      <c r="P239" t="s">
        <v>43</v>
      </c>
      <c r="Q239" t="b">
        <v>1</v>
      </c>
      <c r="R239" t="s">
        <v>55</v>
      </c>
      <c r="S239" t="s">
        <v>45</v>
      </c>
      <c r="T239" t="s">
        <v>46</v>
      </c>
      <c r="U239" t="s">
        <v>70</v>
      </c>
      <c r="V239" t="s">
        <v>38</v>
      </c>
      <c r="W239" t="s">
        <v>542</v>
      </c>
      <c r="X239" t="s">
        <v>72</v>
      </c>
      <c r="Y239">
        <v>9007199254741227</v>
      </c>
      <c r="Z239">
        <v>0</v>
      </c>
      <c r="AA239" t="s">
        <v>38</v>
      </c>
      <c r="AB239" t="b">
        <v>0</v>
      </c>
      <c r="AD239" s="3">
        <v>0.125</v>
      </c>
      <c r="AE239" s="2">
        <v>45912.5</v>
      </c>
      <c r="AF239" t="s">
        <v>60</v>
      </c>
    </row>
    <row r="240">
      <c r="A240" t="s">
        <v>543</v>
      </c>
      <c r="B240" s="2">
        <v>45911.5</v>
      </c>
      <c r="C240" t="s">
        <v>49</v>
      </c>
      <c r="D240" t="s">
        <f>'客户档案'!B4</f>
        <v>50</v>
      </c>
      <c r="E240" t="s">
        <v>74</v>
      </c>
      <c r="F240" t="s">
        <v>75</v>
      </c>
      <c r="G240" t="s">
        <f>'商品目录'!B6</f>
        <v>76</v>
      </c>
      <c r="H240" t="s">
        <v>77</v>
      </c>
      <c r="I240">
        <v>2</v>
      </c>
      <c r="J240" s="4">
        <v>8</v>
      </c>
      <c r="K240" s="4">
        <f>I240*J240</f>
        <v>16</v>
      </c>
      <c r="L240" s="3">
        <v>0.5</v>
      </c>
      <c r="M240" s="4">
        <f>K240*L240</f>
        <v>8</v>
      </c>
      <c r="N240" s="4">
        <v>10</v>
      </c>
      <c r="O240" s="4">
        <f>K240-M240+N240</f>
        <v>18</v>
      </c>
      <c r="P240" t="s">
        <v>43</v>
      </c>
      <c r="Q240" t="b">
        <v>1</v>
      </c>
      <c r="R240" t="s">
        <v>55</v>
      </c>
      <c r="S240" t="s">
        <v>56</v>
      </c>
      <c r="T240" t="s">
        <v>57</v>
      </c>
      <c r="U240" t="s">
        <v>78</v>
      </c>
      <c r="V240" t="s">
        <v>50</v>
      </c>
      <c r="W240" t="s">
        <v>544</v>
      </c>
      <c r="X240" t="s">
        <v>80</v>
      </c>
      <c r="Y240">
        <v>9007199254741228</v>
      </c>
      <c r="Z240">
        <v>0</v>
      </c>
      <c r="AA240" t="s">
        <v>50</v>
      </c>
      <c r="AB240" t="b">
        <v>1</v>
      </c>
      <c r="AD240" s="3">
        <v>0.125</v>
      </c>
      <c r="AE240" s="2">
        <v>45913.5</v>
      </c>
      <c r="AF240" t="s">
        <v>60</v>
      </c>
    </row>
    <row r="241">
      <c r="A241" t="s">
        <v>545</v>
      </c>
      <c r="B241" s="2">
        <v>45912.5</v>
      </c>
      <c r="C241" t="s">
        <v>62</v>
      </c>
      <c r="D241" t="s">
        <f>'客户档案'!B5</f>
        <v>63</v>
      </c>
      <c r="E241" t="s">
        <v>39</v>
      </c>
      <c r="F241" t="s">
        <v>40</v>
      </c>
      <c r="G241" t="s">
        <f>'商品目录'!B3</f>
        <v>41</v>
      </c>
      <c r="H241" t="s">
        <v>42</v>
      </c>
      <c r="I241">
        <v>4</v>
      </c>
      <c r="J241" s="4">
        <v>99</v>
      </c>
      <c r="K241" s="4">
        <f>I241*J241</f>
        <v>396</v>
      </c>
      <c r="L241" s="3">
        <v>0</v>
      </c>
      <c r="M241" s="4">
        <f>K241*L241</f>
        <v>0</v>
      </c>
      <c r="N241" s="4">
        <v>20</v>
      </c>
      <c r="O241" s="4">
        <f>K241-M241+N241</f>
        <v>416</v>
      </c>
      <c r="P241" t="s">
        <v>43</v>
      </c>
      <c r="Q241" t="b">
        <v>0</v>
      </c>
      <c r="R241" t="s">
        <v>44</v>
      </c>
      <c r="S241" t="s">
        <v>68</v>
      </c>
      <c r="T241" t="s">
        <v>69</v>
      </c>
      <c r="U241" t="s">
        <v>39</v>
      </c>
      <c r="V241" t="s">
        <v>63</v>
      </c>
      <c r="W241" t="s">
        <v>546</v>
      </c>
      <c r="X241" t="s">
        <v>0</v>
      </c>
      <c r="Y241">
        <v>9007199254741229</v>
      </c>
      <c r="Z241">
        <v>0</v>
      </c>
      <c r="AA241" t="s">
        <v>63</v>
      </c>
      <c r="AB241" t="b">
        <v>0</v>
      </c>
      <c r="AD241" s="3">
        <v>0.125</v>
      </c>
      <c r="AE241" s="2">
        <v>45914.5</v>
      </c>
      <c r="AF241" t="s">
        <v>60</v>
      </c>
    </row>
    <row r="242">
      <c r="A242" t="s">
        <v>547</v>
      </c>
      <c r="B242" s="2">
        <v>45913.5</v>
      </c>
      <c r="C242" t="s">
        <v>37</v>
      </c>
      <c r="D242" t="s">
        <f>'客户档案'!B3</f>
        <v>38</v>
      </c>
      <c r="E242" t="s">
        <v>51</v>
      </c>
      <c r="F242" t="s">
        <v>52</v>
      </c>
      <c r="G242" t="s">
        <f>'商品目录'!B4</f>
        <v>53</v>
      </c>
      <c r="H242" t="s">
        <v>54</v>
      </c>
      <c r="I242">
        <v>6</v>
      </c>
      <c r="J242" s="4">
        <v>129</v>
      </c>
      <c r="K242" s="4">
        <f>I242*J242</f>
        <v>774</v>
      </c>
      <c r="L242" s="3">
        <v>0.5</v>
      </c>
      <c r="M242" s="4">
        <f>K242*L242</f>
        <v>387</v>
      </c>
      <c r="N242" s="4">
        <v>0</v>
      </c>
      <c r="O242" s="4">
        <f>K242-M242+N242</f>
        <v>387</v>
      </c>
      <c r="P242" t="s">
        <v>43</v>
      </c>
      <c r="Q242" t="b">
        <v>1</v>
      </c>
      <c r="R242" t="s">
        <v>55</v>
      </c>
      <c r="S242" t="s">
        <v>45</v>
      </c>
      <c r="T242" t="s">
        <v>46</v>
      </c>
      <c r="U242" t="s">
        <v>51</v>
      </c>
      <c r="V242" t="s">
        <v>38</v>
      </c>
      <c r="W242" t="s">
        <v>548</v>
      </c>
      <c r="X242" t="s">
        <v>59</v>
      </c>
      <c r="Y242">
        <v>9007199254741230</v>
      </c>
      <c r="Z242">
        <v>0</v>
      </c>
      <c r="AA242" t="s">
        <v>38</v>
      </c>
      <c r="AB242" t="b">
        <v>1</v>
      </c>
      <c r="AD242" s="3">
        <v>0.125</v>
      </c>
      <c r="AE242" s="2">
        <v>45915.5</v>
      </c>
      <c r="AF242" t="s">
        <v>60</v>
      </c>
    </row>
    <row r="243">
      <c r="A243" t="s">
        <v>549</v>
      </c>
      <c r="B243" s="2">
        <v>45914.5</v>
      </c>
      <c r="C243" t="s">
        <v>49</v>
      </c>
      <c r="D243" t="s">
        <f>'客户档案'!B4</f>
        <v>50</v>
      </c>
      <c r="E243" t="s">
        <v>64</v>
      </c>
      <c r="F243" t="s">
        <v>65</v>
      </c>
      <c r="G243" t="s">
        <f>'商品目录'!B5</f>
        <v>66</v>
      </c>
      <c r="H243" t="s">
        <v>67</v>
      </c>
      <c r="I243">
        <v>8</v>
      </c>
      <c r="J243" s="4">
        <v>45</v>
      </c>
      <c r="K243" s="4">
        <f>I243*J243</f>
        <v>360</v>
      </c>
      <c r="L243" s="3">
        <v>0</v>
      </c>
      <c r="M243" s="4">
        <f>K243*L243</f>
        <v>0</v>
      </c>
      <c r="N243" s="4">
        <v>10</v>
      </c>
      <c r="O243" s="4">
        <f>K243-M243+N243</f>
        <v>370</v>
      </c>
      <c r="P243" t="s">
        <v>43</v>
      </c>
      <c r="Q243" t="b">
        <v>1</v>
      </c>
      <c r="R243" t="s">
        <v>55</v>
      </c>
      <c r="S243" t="s">
        <v>56</v>
      </c>
      <c r="T243" t="s">
        <v>57</v>
      </c>
      <c r="U243" t="s">
        <v>70</v>
      </c>
      <c r="V243" t="s">
        <v>50</v>
      </c>
      <c r="W243" t="s">
        <v>550</v>
      </c>
      <c r="X243" t="s">
        <v>72</v>
      </c>
      <c r="Y243">
        <v>9007199254741231</v>
      </c>
      <c r="Z243">
        <v>2</v>
      </c>
      <c r="AA243" t="s">
        <v>50</v>
      </c>
      <c r="AB243" t="b">
        <v>0</v>
      </c>
      <c r="AD243" s="3">
        <v>0.125</v>
      </c>
      <c r="AE243" s="2">
        <v>45916.5</v>
      </c>
      <c r="AF243" t="s">
        <v>60</v>
      </c>
    </row>
    <row r="244">
      <c r="A244" t="s">
        <v>551</v>
      </c>
      <c r="B244" s="2">
        <v>45915.5</v>
      </c>
      <c r="C244" t="s">
        <v>62</v>
      </c>
      <c r="D244" t="s">
        <f>'客户档案'!B5</f>
        <v>63</v>
      </c>
      <c r="E244" t="s">
        <v>74</v>
      </c>
      <c r="F244" t="s">
        <v>75</v>
      </c>
      <c r="G244" t="s">
        <f>'商品目录'!B6</f>
        <v>76</v>
      </c>
      <c r="H244" t="s">
        <v>77</v>
      </c>
      <c r="I244">
        <v>10</v>
      </c>
      <c r="J244" s="4">
        <v>8</v>
      </c>
      <c r="K244" s="4">
        <f>I244*J244</f>
        <v>80</v>
      </c>
      <c r="L244" s="3">
        <v>0.5</v>
      </c>
      <c r="M244" s="4">
        <f>K244*L244</f>
        <v>40</v>
      </c>
      <c r="N244" s="4">
        <v>20</v>
      </c>
      <c r="O244" s="4">
        <f>K244-M244+N244</f>
        <v>60</v>
      </c>
      <c r="P244" t="s">
        <v>43</v>
      </c>
      <c r="Q244" t="b">
        <v>1</v>
      </c>
      <c r="R244" t="s">
        <v>55</v>
      </c>
      <c r="S244" t="s">
        <v>68</v>
      </c>
      <c r="T244" t="s">
        <v>69</v>
      </c>
      <c r="U244" t="s">
        <v>78</v>
      </c>
      <c r="V244" t="s">
        <v>63</v>
      </c>
      <c r="W244" t="s">
        <v>552</v>
      </c>
      <c r="X244" t="s">
        <v>80</v>
      </c>
      <c r="Y244">
        <v>9007199254741232</v>
      </c>
      <c r="Z244">
        <v>0</v>
      </c>
      <c r="AA244" t="s">
        <v>63</v>
      </c>
      <c r="AB244" t="b">
        <v>1</v>
      </c>
      <c r="AD244" s="3">
        <v>0.125</v>
      </c>
      <c r="AE244" s="2">
        <v>45917.5</v>
      </c>
      <c r="AF244" t="s">
        <v>60</v>
      </c>
    </row>
    <row r="245">
      <c r="A245" t="s">
        <v>553</v>
      </c>
      <c r="B245" s="2">
        <v>45916.5</v>
      </c>
      <c r="C245" t="s">
        <v>37</v>
      </c>
      <c r="D245" t="s">
        <f>'客户档案'!B3</f>
        <v>38</v>
      </c>
      <c r="E245" t="s">
        <v>39</v>
      </c>
      <c r="F245" t="s">
        <v>40</v>
      </c>
      <c r="G245" t="s">
        <f>'商品目录'!B3</f>
        <v>41</v>
      </c>
      <c r="H245" t="s">
        <v>42</v>
      </c>
      <c r="I245">
        <v>2</v>
      </c>
      <c r="J245" s="4">
        <v>99</v>
      </c>
      <c r="K245" s="4">
        <f>I245*J245</f>
        <v>198</v>
      </c>
      <c r="L245" s="3">
        <v>0</v>
      </c>
      <c r="M245" s="4">
        <f>K245*L245</f>
        <v>0</v>
      </c>
      <c r="N245" s="4">
        <v>0</v>
      </c>
      <c r="O245" s="4">
        <f>K245-M245+N245</f>
        <v>198</v>
      </c>
      <c r="P245" t="s">
        <v>43</v>
      </c>
      <c r="Q245" t="b">
        <v>0</v>
      </c>
      <c r="R245" t="s">
        <v>44</v>
      </c>
      <c r="S245" t="s">
        <v>45</v>
      </c>
      <c r="T245" t="s">
        <v>46</v>
      </c>
      <c r="U245" t="s">
        <v>39</v>
      </c>
      <c r="V245" t="s">
        <v>38</v>
      </c>
      <c r="W245" t="s">
        <v>554</v>
      </c>
      <c r="X245" t="s">
        <v>0</v>
      </c>
      <c r="Y245">
        <v>9007199254741233</v>
      </c>
      <c r="Z245">
        <v>0</v>
      </c>
      <c r="AA245" t="s">
        <v>38</v>
      </c>
      <c r="AB245" t="b">
        <v>0</v>
      </c>
      <c r="AD245" s="3">
        <v>0.125</v>
      </c>
      <c r="AE245" s="2">
        <v>45918.5</v>
      </c>
      <c r="AF245" t="s">
        <v>60</v>
      </c>
    </row>
    <row r="246">
      <c r="A246" t="s">
        <v>555</v>
      </c>
      <c r="B246" s="2">
        <v>45917.5</v>
      </c>
      <c r="C246" t="s">
        <v>49</v>
      </c>
      <c r="D246" t="s">
        <f>'客户档案'!B4</f>
        <v>50</v>
      </c>
      <c r="E246" t="s">
        <v>51</v>
      </c>
      <c r="F246" t="s">
        <v>52</v>
      </c>
      <c r="G246" t="s">
        <f>'商品目录'!B4</f>
        <v>53</v>
      </c>
      <c r="H246" t="s">
        <v>54</v>
      </c>
      <c r="I246">
        <v>4</v>
      </c>
      <c r="J246" s="4">
        <v>129</v>
      </c>
      <c r="K246" s="4">
        <f>I246*J246</f>
        <v>516</v>
      </c>
      <c r="L246" s="3">
        <v>0.5</v>
      </c>
      <c r="M246" s="4">
        <f>K246*L246</f>
        <v>258</v>
      </c>
      <c r="N246" s="4">
        <v>10</v>
      </c>
      <c r="O246" s="4">
        <f>K246-M246+N246</f>
        <v>268</v>
      </c>
      <c r="P246" t="s">
        <v>43</v>
      </c>
      <c r="Q246" t="b">
        <v>1</v>
      </c>
      <c r="R246" t="s">
        <v>55</v>
      </c>
      <c r="S246" t="s">
        <v>56</v>
      </c>
      <c r="T246" t="s">
        <v>57</v>
      </c>
      <c r="U246" t="s">
        <v>51</v>
      </c>
      <c r="V246" t="s">
        <v>50</v>
      </c>
      <c r="W246" t="s">
        <v>556</v>
      </c>
      <c r="X246" t="s">
        <v>59</v>
      </c>
      <c r="Y246">
        <v>9007199254741234</v>
      </c>
      <c r="Z246">
        <v>0</v>
      </c>
      <c r="AA246" t="s">
        <v>50</v>
      </c>
      <c r="AB246" t="b">
        <v>1</v>
      </c>
      <c r="AD246" s="3">
        <v>0.125</v>
      </c>
      <c r="AE246" s="2">
        <v>45919.5</v>
      </c>
      <c r="AF246" t="s">
        <v>60</v>
      </c>
    </row>
    <row r="247">
      <c r="A247" t="s">
        <v>557</v>
      </c>
      <c r="B247" s="2">
        <v>45918.5</v>
      </c>
      <c r="C247" t="s">
        <v>62</v>
      </c>
      <c r="D247" t="s">
        <f>'客户档案'!B5</f>
        <v>63</v>
      </c>
      <c r="E247" t="s">
        <v>64</v>
      </c>
      <c r="F247" t="s">
        <v>65</v>
      </c>
      <c r="G247" t="s">
        <f>'商品目录'!B5</f>
        <v>66</v>
      </c>
      <c r="H247" t="s">
        <v>67</v>
      </c>
      <c r="I247">
        <v>6</v>
      </c>
      <c r="J247" s="4">
        <v>45</v>
      </c>
      <c r="K247" s="4">
        <f>I247*J247</f>
        <v>270</v>
      </c>
      <c r="L247" s="3">
        <v>0</v>
      </c>
      <c r="M247" s="4">
        <f>K247*L247</f>
        <v>0</v>
      </c>
      <c r="N247" s="4">
        <v>20</v>
      </c>
      <c r="O247" s="4">
        <f>K247-M247+N247</f>
        <v>290</v>
      </c>
      <c r="P247" t="s">
        <v>43</v>
      </c>
      <c r="Q247" t="b">
        <v>1</v>
      </c>
      <c r="R247" t="s">
        <v>55</v>
      </c>
      <c r="S247" t="s">
        <v>68</v>
      </c>
      <c r="T247" t="s">
        <v>69</v>
      </c>
      <c r="U247" t="s">
        <v>70</v>
      </c>
      <c r="V247" t="s">
        <v>63</v>
      </c>
      <c r="W247" t="s">
        <v>558</v>
      </c>
      <c r="X247" t="s">
        <v>72</v>
      </c>
      <c r="Y247">
        <v>9007199254741235</v>
      </c>
      <c r="Z247">
        <v>0</v>
      </c>
      <c r="AA247" t="s">
        <v>63</v>
      </c>
      <c r="AB247" t="b">
        <v>0</v>
      </c>
      <c r="AD247" s="3">
        <v>0.125</v>
      </c>
      <c r="AE247" s="2">
        <v>45920.5</v>
      </c>
      <c r="AF247" t="s">
        <v>60</v>
      </c>
    </row>
    <row r="248">
      <c r="A248" t="s">
        <v>559</v>
      </c>
      <c r="B248" s="2">
        <v>45919.5</v>
      </c>
      <c r="C248" t="s">
        <v>37</v>
      </c>
      <c r="D248" t="s">
        <f>'客户档案'!B3</f>
        <v>38</v>
      </c>
      <c r="E248" t="s">
        <v>74</v>
      </c>
      <c r="F248" t="s">
        <v>75</v>
      </c>
      <c r="G248" t="s">
        <f>'商品目录'!B6</f>
        <v>76</v>
      </c>
      <c r="H248" t="s">
        <v>77</v>
      </c>
      <c r="I248">
        <v>8</v>
      </c>
      <c r="J248" s="4">
        <v>8</v>
      </c>
      <c r="K248" s="4">
        <f>I248*J248</f>
        <v>64</v>
      </c>
      <c r="L248" s="3">
        <v>0.5</v>
      </c>
      <c r="M248" s="4">
        <f>K248*L248</f>
        <v>32</v>
      </c>
      <c r="N248" s="4">
        <v>0</v>
      </c>
      <c r="O248" s="4">
        <f>K248-M248+N248</f>
        <v>32</v>
      </c>
      <c r="P248" t="s">
        <v>43</v>
      </c>
      <c r="Q248" t="b">
        <v>1</v>
      </c>
      <c r="R248" t="s">
        <v>55</v>
      </c>
      <c r="S248" t="s">
        <v>45</v>
      </c>
      <c r="T248" t="s">
        <v>46</v>
      </c>
      <c r="U248" t="s">
        <v>78</v>
      </c>
      <c r="V248" t="s">
        <v>38</v>
      </c>
      <c r="W248" t="s">
        <v>560</v>
      </c>
      <c r="X248" t="s">
        <v>80</v>
      </c>
      <c r="Y248">
        <v>9007199254741236</v>
      </c>
      <c r="Z248">
        <v>0</v>
      </c>
      <c r="AA248" t="s">
        <v>38</v>
      </c>
      <c r="AB248" t="b">
        <v>1</v>
      </c>
      <c r="AD248" s="3">
        <v>0.125</v>
      </c>
      <c r="AE248" s="2">
        <v>45921.5</v>
      </c>
      <c r="AF248" t="s">
        <v>60</v>
      </c>
    </row>
    <row r="249">
      <c r="A249" t="s">
        <v>561</v>
      </c>
      <c r="B249" s="2">
        <v>45920.5</v>
      </c>
      <c r="C249" t="s">
        <v>49</v>
      </c>
      <c r="D249" t="s">
        <f>'客户档案'!B4</f>
        <v>50</v>
      </c>
      <c r="E249" t="s">
        <v>39</v>
      </c>
      <c r="F249" t="s">
        <v>40</v>
      </c>
      <c r="G249" t="s">
        <f>'商品目录'!B3</f>
        <v>41</v>
      </c>
      <c r="H249" t="s">
        <v>42</v>
      </c>
      <c r="I249">
        <v>10</v>
      </c>
      <c r="J249" s="4">
        <v>99</v>
      </c>
      <c r="K249" s="4">
        <f>I249*J249</f>
        <v>990</v>
      </c>
      <c r="L249" s="3">
        <v>0</v>
      </c>
      <c r="M249" s="4">
        <f>K249*L249</f>
        <v>0</v>
      </c>
      <c r="N249" s="4">
        <v>10</v>
      </c>
      <c r="O249" s="4">
        <f>K249-M249+N249</f>
        <v>1000</v>
      </c>
      <c r="P249" t="s">
        <v>43</v>
      </c>
      <c r="Q249" t="b">
        <v>0</v>
      </c>
      <c r="R249" t="s">
        <v>44</v>
      </c>
      <c r="S249" t="s">
        <v>56</v>
      </c>
      <c r="T249" t="s">
        <v>57</v>
      </c>
      <c r="U249" t="s">
        <v>39</v>
      </c>
      <c r="V249" t="s">
        <v>50</v>
      </c>
      <c r="W249" t="s">
        <v>562</v>
      </c>
      <c r="X249" t="s">
        <v>0</v>
      </c>
      <c r="Y249">
        <v>9007199254741237</v>
      </c>
      <c r="Z249">
        <v>0</v>
      </c>
      <c r="AA249" t="s">
        <v>50</v>
      </c>
      <c r="AB249" t="b">
        <v>0</v>
      </c>
      <c r="AD249" s="3">
        <v>0.125</v>
      </c>
      <c r="AE249" s="2">
        <v>45922.5</v>
      </c>
      <c r="AF249" t="s">
        <v>60</v>
      </c>
    </row>
    <row r="250">
      <c r="A250" t="s">
        <v>563</v>
      </c>
      <c r="B250" s="2">
        <v>45921.5</v>
      </c>
      <c r="C250" t="s">
        <v>62</v>
      </c>
      <c r="D250" t="s">
        <f>'客户档案'!B5</f>
        <v>63</v>
      </c>
      <c r="E250" t="s">
        <v>51</v>
      </c>
      <c r="F250" t="s">
        <v>52</v>
      </c>
      <c r="G250" t="s">
        <f>'商品目录'!B4</f>
        <v>53</v>
      </c>
      <c r="H250" t="s">
        <v>54</v>
      </c>
      <c r="I250">
        <v>2</v>
      </c>
      <c r="J250" s="4">
        <v>129</v>
      </c>
      <c r="K250" s="4">
        <f>I250*J250</f>
        <v>258</v>
      </c>
      <c r="L250" s="3">
        <v>0.5</v>
      </c>
      <c r="M250" s="4">
        <f>K250*L250</f>
        <v>129</v>
      </c>
      <c r="N250" s="4">
        <v>20</v>
      </c>
      <c r="O250" s="4">
        <f>K250-M250+N250</f>
        <v>149</v>
      </c>
      <c r="P250" t="s">
        <v>43</v>
      </c>
      <c r="Q250" t="b">
        <v>1</v>
      </c>
      <c r="R250" t="s">
        <v>55</v>
      </c>
      <c r="S250" t="s">
        <v>68</v>
      </c>
      <c r="T250" t="s">
        <v>69</v>
      </c>
      <c r="U250" t="s">
        <v>51</v>
      </c>
      <c r="V250" t="s">
        <v>63</v>
      </c>
      <c r="W250" t="s">
        <v>564</v>
      </c>
      <c r="X250" t="s">
        <v>59</v>
      </c>
      <c r="Y250">
        <v>9007199254741238</v>
      </c>
      <c r="Z250">
        <v>0</v>
      </c>
      <c r="AA250" t="s">
        <v>63</v>
      </c>
      <c r="AB250" t="b">
        <v>1</v>
      </c>
      <c r="AD250" s="3">
        <v>0.125</v>
      </c>
      <c r="AE250" s="2">
        <v>45923.5</v>
      </c>
      <c r="AF250" t="s">
        <v>60</v>
      </c>
    </row>
    <row r="251">
      <c r="A251" t="s">
        <v>565</v>
      </c>
      <c r="B251" s="2">
        <v>45922.5</v>
      </c>
      <c r="C251" t="s">
        <v>37</v>
      </c>
      <c r="D251" t="s">
        <f>'客户档案'!B3</f>
        <v>38</v>
      </c>
      <c r="E251" t="s">
        <v>64</v>
      </c>
      <c r="F251" t="s">
        <v>65</v>
      </c>
      <c r="G251" t="s">
        <f>'商品目录'!B5</f>
        <v>66</v>
      </c>
      <c r="H251" t="s">
        <v>67</v>
      </c>
      <c r="I251">
        <v>4</v>
      </c>
      <c r="J251" s="4">
        <v>45</v>
      </c>
      <c r="K251" s="4">
        <f>I251*J251</f>
        <v>180</v>
      </c>
      <c r="L251" s="3">
        <v>0</v>
      </c>
      <c r="M251" s="4">
        <f>K251*L251</f>
        <v>0</v>
      </c>
      <c r="N251" s="4">
        <v>0</v>
      </c>
      <c r="O251" s="4">
        <f>K251-M251+N251</f>
        <v>180</v>
      </c>
      <c r="P251" t="s">
        <v>43</v>
      </c>
      <c r="Q251" t="b">
        <v>1</v>
      </c>
      <c r="R251" t="s">
        <v>55</v>
      </c>
      <c r="S251" t="s">
        <v>45</v>
      </c>
      <c r="T251" t="s">
        <v>46</v>
      </c>
      <c r="U251" t="s">
        <v>70</v>
      </c>
      <c r="V251" t="s">
        <v>38</v>
      </c>
      <c r="W251" t="s">
        <v>566</v>
      </c>
      <c r="X251" t="s">
        <v>72</v>
      </c>
      <c r="Y251">
        <v>9007199254741239</v>
      </c>
      <c r="Z251">
        <v>0</v>
      </c>
      <c r="AA251" t="s">
        <v>38</v>
      </c>
      <c r="AB251" t="b">
        <v>0</v>
      </c>
      <c r="AD251" s="3">
        <v>0.125</v>
      </c>
      <c r="AE251" s="2">
        <v>45924.5</v>
      </c>
      <c r="AF251" t="s">
        <v>60</v>
      </c>
    </row>
    <row r="252">
      <c r="A252" t="s">
        <v>567</v>
      </c>
      <c r="B252" s="2">
        <v>45923.5</v>
      </c>
      <c r="C252" t="s">
        <v>49</v>
      </c>
      <c r="D252" t="s">
        <f>'客户档案'!B4</f>
        <v>50</v>
      </c>
      <c r="E252" t="s">
        <v>74</v>
      </c>
      <c r="F252" t="s">
        <v>75</v>
      </c>
      <c r="G252" t="s">
        <f>'商品目录'!B6</f>
        <v>76</v>
      </c>
      <c r="H252" t="s">
        <v>77</v>
      </c>
      <c r="I252">
        <v>6</v>
      </c>
      <c r="J252" s="4">
        <v>8</v>
      </c>
      <c r="K252" s="4">
        <f>I252*J252</f>
        <v>48</v>
      </c>
      <c r="L252" s="3">
        <v>0.5</v>
      </c>
      <c r="M252" s="4">
        <f>K252*L252</f>
        <v>24</v>
      </c>
      <c r="N252" s="4">
        <v>10</v>
      </c>
      <c r="O252" s="4">
        <f>K252-M252+N252</f>
        <v>34</v>
      </c>
      <c r="P252" t="s">
        <v>43</v>
      </c>
      <c r="Q252" t="b">
        <v>1</v>
      </c>
      <c r="R252" t="s">
        <v>55</v>
      </c>
      <c r="S252" t="s">
        <v>56</v>
      </c>
      <c r="T252" t="s">
        <v>57</v>
      </c>
      <c r="U252" t="s">
        <v>78</v>
      </c>
      <c r="V252" t="s">
        <v>50</v>
      </c>
      <c r="W252" t="s">
        <v>568</v>
      </c>
      <c r="X252" t="s">
        <v>80</v>
      </c>
      <c r="Y252">
        <v>9007199254741240</v>
      </c>
      <c r="Z252">
        <v>0</v>
      </c>
      <c r="AA252" t="s">
        <v>50</v>
      </c>
      <c r="AB252" t="b">
        <v>1</v>
      </c>
      <c r="AD252" s="3">
        <v>0.125</v>
      </c>
      <c r="AE252" s="2">
        <v>45925.5</v>
      </c>
      <c r="AF252" t="s">
        <v>60</v>
      </c>
    </row>
    <row r="253">
      <c r="A253" t="s">
        <v>569</v>
      </c>
      <c r="B253" s="2">
        <v>45924.5</v>
      </c>
      <c r="C253" t="s">
        <v>62</v>
      </c>
      <c r="D253" t="s">
        <f>'客户档案'!B5</f>
        <v>63</v>
      </c>
      <c r="E253" t="s">
        <v>39</v>
      </c>
      <c r="F253" t="s">
        <v>40</v>
      </c>
      <c r="G253" t="s">
        <f>'商品目录'!B3</f>
        <v>41</v>
      </c>
      <c r="H253" t="s">
        <v>42</v>
      </c>
      <c r="I253">
        <v>8</v>
      </c>
      <c r="J253" s="4">
        <v>99</v>
      </c>
      <c r="K253" s="4">
        <f>I253*J253</f>
        <v>792</v>
      </c>
      <c r="L253" s="3">
        <v>0</v>
      </c>
      <c r="M253" s="4">
        <f>K253*L253</f>
        <v>0</v>
      </c>
      <c r="N253" s="4">
        <v>20</v>
      </c>
      <c r="O253" s="4">
        <f>K253-M253+N253</f>
        <v>812</v>
      </c>
      <c r="P253" t="s">
        <v>43</v>
      </c>
      <c r="Q253" t="b">
        <v>0</v>
      </c>
      <c r="R253" t="s">
        <v>44</v>
      </c>
      <c r="S253" t="s">
        <v>68</v>
      </c>
      <c r="T253" t="s">
        <v>69</v>
      </c>
      <c r="U253" t="s">
        <v>39</v>
      </c>
      <c r="V253" t="s">
        <v>63</v>
      </c>
      <c r="W253" t="s">
        <v>570</v>
      </c>
      <c r="X253" t="s">
        <v>0</v>
      </c>
      <c r="Y253">
        <v>9007199254741241</v>
      </c>
      <c r="Z253">
        <v>0</v>
      </c>
      <c r="AA253" t="s">
        <v>63</v>
      </c>
      <c r="AB253" t="b">
        <v>0</v>
      </c>
      <c r="AD253" s="3">
        <v>0.125</v>
      </c>
      <c r="AE253" s="2">
        <v>45926.5</v>
      </c>
      <c r="AF253" t="s">
        <v>60</v>
      </c>
    </row>
    <row r="254">
      <c r="A254" t="s">
        <v>571</v>
      </c>
      <c r="B254" s="2">
        <v>45925.5</v>
      </c>
      <c r="C254" t="s">
        <v>37</v>
      </c>
      <c r="D254" t="s">
        <f>'客户档案'!B3</f>
        <v>38</v>
      </c>
      <c r="E254" t="s">
        <v>51</v>
      </c>
      <c r="F254" t="s">
        <v>52</v>
      </c>
      <c r="G254" t="s">
        <f>'商品目录'!B4</f>
        <v>53</v>
      </c>
      <c r="H254" t="s">
        <v>54</v>
      </c>
      <c r="I254">
        <v>10</v>
      </c>
      <c r="J254" s="4">
        <v>129</v>
      </c>
      <c r="K254" s="4">
        <f>I254*J254</f>
        <v>1290</v>
      </c>
      <c r="L254" s="3">
        <v>0.5</v>
      </c>
      <c r="M254" s="4">
        <f>K254*L254</f>
        <v>645</v>
      </c>
      <c r="N254" s="4">
        <v>0</v>
      </c>
      <c r="O254" s="4">
        <f>K254-M254+N254</f>
        <v>645</v>
      </c>
      <c r="P254" t="s">
        <v>43</v>
      </c>
      <c r="Q254" t="b">
        <v>1</v>
      </c>
      <c r="R254" t="s">
        <v>55</v>
      </c>
      <c r="S254" t="s">
        <v>45</v>
      </c>
      <c r="T254" t="s">
        <v>46</v>
      </c>
      <c r="U254" t="s">
        <v>51</v>
      </c>
      <c r="V254" t="s">
        <v>38</v>
      </c>
      <c r="W254" t="s">
        <v>572</v>
      </c>
      <c r="X254" t="s">
        <v>59</v>
      </c>
      <c r="Y254">
        <v>9007199254741242</v>
      </c>
      <c r="Z254">
        <v>0</v>
      </c>
      <c r="AA254" t="s">
        <v>38</v>
      </c>
      <c r="AB254" t="b">
        <v>1</v>
      </c>
      <c r="AD254" s="3">
        <v>0.125</v>
      </c>
      <c r="AE254" s="2">
        <v>45927.5</v>
      </c>
      <c r="AF254" t="s">
        <v>60</v>
      </c>
    </row>
    <row r="255">
      <c r="A255" t="s">
        <v>573</v>
      </c>
      <c r="B255" s="2">
        <v>45926.5</v>
      </c>
      <c r="C255" t="s">
        <v>49</v>
      </c>
      <c r="D255" t="s">
        <f>'客户档案'!B4</f>
        <v>50</v>
      </c>
      <c r="E255" t="s">
        <v>64</v>
      </c>
      <c r="F255" t="s">
        <v>65</v>
      </c>
      <c r="G255" t="s">
        <f>'商品目录'!B5</f>
        <v>66</v>
      </c>
      <c r="H255" t="s">
        <v>67</v>
      </c>
      <c r="I255">
        <v>2</v>
      </c>
      <c r="J255" s="4">
        <v>45</v>
      </c>
      <c r="K255" s="4">
        <f>I255*J255</f>
        <v>90</v>
      </c>
      <c r="L255" s="3">
        <v>0</v>
      </c>
      <c r="M255" s="4">
        <f>K255*L255</f>
        <v>0</v>
      </c>
      <c r="N255" s="4">
        <v>10</v>
      </c>
      <c r="O255" s="4">
        <f>K255-M255+N255</f>
        <v>100</v>
      </c>
      <c r="P255" t="s">
        <v>43</v>
      </c>
      <c r="Q255" t="b">
        <v>1</v>
      </c>
      <c r="R255" t="s">
        <v>55</v>
      </c>
      <c r="S255" t="s">
        <v>56</v>
      </c>
      <c r="T255" t="s">
        <v>57</v>
      </c>
      <c r="U255" t="s">
        <v>70</v>
      </c>
      <c r="V255" t="s">
        <v>50</v>
      </c>
      <c r="W255" t="s">
        <v>574</v>
      </c>
      <c r="X255" t="s">
        <v>72</v>
      </c>
      <c r="Y255">
        <v>9007199254741243</v>
      </c>
      <c r="Z255">
        <v>0</v>
      </c>
      <c r="AA255" t="s">
        <v>50</v>
      </c>
      <c r="AB255" t="b">
        <v>0</v>
      </c>
      <c r="AD255" s="3">
        <v>0.125</v>
      </c>
      <c r="AE255" s="2">
        <v>45928.5</v>
      </c>
      <c r="AF255" t="s">
        <v>60</v>
      </c>
    </row>
    <row r="256">
      <c r="A256" t="s">
        <v>575</v>
      </c>
      <c r="B256" s="2">
        <v>45927.5</v>
      </c>
      <c r="C256" t="s">
        <v>62</v>
      </c>
      <c r="D256" t="s">
        <f>'客户档案'!B5</f>
        <v>63</v>
      </c>
      <c r="E256" t="s">
        <v>74</v>
      </c>
      <c r="F256" t="s">
        <v>75</v>
      </c>
      <c r="G256" t="s">
        <f>'商品目录'!B6</f>
        <v>76</v>
      </c>
      <c r="H256" t="s">
        <v>77</v>
      </c>
      <c r="I256">
        <v>4</v>
      </c>
      <c r="J256" s="4">
        <v>8</v>
      </c>
      <c r="K256" s="4">
        <f>I256*J256</f>
        <v>32</v>
      </c>
      <c r="L256" s="3">
        <v>0.5</v>
      </c>
      <c r="M256" s="4">
        <f>K256*L256</f>
        <v>16</v>
      </c>
      <c r="N256" s="4">
        <v>20</v>
      </c>
      <c r="O256" s="4">
        <f>K256-M256+N256</f>
        <v>36</v>
      </c>
      <c r="P256" t="s">
        <v>43</v>
      </c>
      <c r="Q256" t="b">
        <v>1</v>
      </c>
      <c r="R256" t="s">
        <v>55</v>
      </c>
      <c r="S256" t="s">
        <v>68</v>
      </c>
      <c r="T256" t="s">
        <v>69</v>
      </c>
      <c r="U256" t="s">
        <v>78</v>
      </c>
      <c r="V256" t="s">
        <v>63</v>
      </c>
      <c r="W256" t="s">
        <v>576</v>
      </c>
      <c r="X256" t="s">
        <v>80</v>
      </c>
      <c r="Y256">
        <v>9007199254741244</v>
      </c>
      <c r="Z256">
        <v>0</v>
      </c>
      <c r="AA256" t="s">
        <v>63</v>
      </c>
      <c r="AB256" t="b">
        <v>1</v>
      </c>
      <c r="AD256" s="3">
        <v>0.125</v>
      </c>
      <c r="AE256" s="2">
        <v>45929.5</v>
      </c>
      <c r="AF256" t="s">
        <v>60</v>
      </c>
    </row>
    <row r="257">
      <c r="A257" t="s">
        <v>577</v>
      </c>
      <c r="B257" s="2">
        <v>45900.5</v>
      </c>
      <c r="C257" t="s">
        <v>37</v>
      </c>
      <c r="D257" t="s">
        <f>'客户档案'!B3</f>
        <v>38</v>
      </c>
      <c r="E257" t="s">
        <v>39</v>
      </c>
      <c r="F257" t="s">
        <v>40</v>
      </c>
      <c r="G257" t="s">
        <f>'商品目录'!B3</f>
        <v>41</v>
      </c>
      <c r="H257" t="s">
        <v>42</v>
      </c>
      <c r="I257">
        <v>6</v>
      </c>
      <c r="J257" s="4">
        <v>99</v>
      </c>
      <c r="K257" s="4">
        <f>I257*J257</f>
        <v>594</v>
      </c>
      <c r="L257" s="3">
        <v>0</v>
      </c>
      <c r="M257" s="4">
        <f>K257*L257</f>
        <v>0</v>
      </c>
      <c r="N257" s="4">
        <v>0</v>
      </c>
      <c r="O257" s="4">
        <f>K257-M257+N257</f>
        <v>594</v>
      </c>
      <c r="P257" t="s">
        <v>43</v>
      </c>
      <c r="Q257" t="b">
        <v>0</v>
      </c>
      <c r="R257" t="s">
        <v>44</v>
      </c>
      <c r="S257" t="s">
        <v>45</v>
      </c>
      <c r="T257" t="s">
        <v>46</v>
      </c>
      <c r="U257" t="s">
        <v>39</v>
      </c>
      <c r="V257" t="s">
        <v>38</v>
      </c>
      <c r="W257" t="s">
        <v>578</v>
      </c>
      <c r="X257" t="s">
        <v>0</v>
      </c>
      <c r="Y257">
        <v>9007199254741245</v>
      </c>
      <c r="Z257">
        <v>0</v>
      </c>
      <c r="AA257" t="s">
        <v>38</v>
      </c>
      <c r="AB257" t="b">
        <v>0</v>
      </c>
      <c r="AD257" s="3">
        <v>0.125</v>
      </c>
      <c r="AE257" s="2">
        <v>45902.5</v>
      </c>
      <c r="AF257" t="s">
        <v>60</v>
      </c>
    </row>
    <row r="258">
      <c r="A258" t="s">
        <v>579</v>
      </c>
      <c r="B258" s="2">
        <v>45901.5</v>
      </c>
      <c r="C258" t="s">
        <v>49</v>
      </c>
      <c r="D258" t="s">
        <f>'客户档案'!B4</f>
        <v>50</v>
      </c>
      <c r="E258" t="s">
        <v>51</v>
      </c>
      <c r="F258" t="s">
        <v>52</v>
      </c>
      <c r="G258" t="s">
        <f>'商品目录'!B4</f>
        <v>53</v>
      </c>
      <c r="H258" t="s">
        <v>54</v>
      </c>
      <c r="I258">
        <v>8</v>
      </c>
      <c r="J258" s="4">
        <v>129</v>
      </c>
      <c r="K258" s="4">
        <f>I258*J258</f>
        <v>1032</v>
      </c>
      <c r="L258" s="3">
        <v>0.5</v>
      </c>
      <c r="M258" s="4">
        <f>K258*L258</f>
        <v>516</v>
      </c>
      <c r="N258" s="4">
        <v>10</v>
      </c>
      <c r="O258" s="4">
        <f>K258-M258+N258</f>
        <v>526</v>
      </c>
      <c r="P258" t="s">
        <v>43</v>
      </c>
      <c r="Q258" t="b">
        <v>1</v>
      </c>
      <c r="R258" t="s">
        <v>55</v>
      </c>
      <c r="S258" t="s">
        <v>56</v>
      </c>
      <c r="T258" t="s">
        <v>57</v>
      </c>
      <c r="U258" t="s">
        <v>51</v>
      </c>
      <c r="V258" t="s">
        <v>50</v>
      </c>
      <c r="W258" t="s">
        <v>580</v>
      </c>
      <c r="X258" t="s">
        <v>59</v>
      </c>
      <c r="Y258">
        <v>9007199254741246</v>
      </c>
      <c r="Z258">
        <v>0</v>
      </c>
      <c r="AA258" t="s">
        <v>50</v>
      </c>
      <c r="AB258" t="b">
        <v>1</v>
      </c>
      <c r="AD258" s="3">
        <v>0.125</v>
      </c>
      <c r="AE258" s="2">
        <v>45903.5</v>
      </c>
      <c r="AF258" t="s">
        <v>60</v>
      </c>
    </row>
    <row r="259">
      <c r="A259" t="s">
        <v>581</v>
      </c>
      <c r="B259" s="2">
        <v>45902.5</v>
      </c>
      <c r="C259" t="s">
        <v>62</v>
      </c>
      <c r="D259" t="s">
        <f>'客户档案'!B5</f>
        <v>63</v>
      </c>
      <c r="E259" t="s">
        <v>64</v>
      </c>
      <c r="F259" t="s">
        <v>65</v>
      </c>
      <c r="G259" t="s">
        <f>'商品目录'!B5</f>
        <v>66</v>
      </c>
      <c r="H259" t="s">
        <v>67</v>
      </c>
      <c r="I259">
        <v>10</v>
      </c>
      <c r="J259" s="4">
        <v>45</v>
      </c>
      <c r="K259" s="4">
        <f>I259*J259</f>
        <v>450</v>
      </c>
      <c r="L259" s="3">
        <v>0</v>
      </c>
      <c r="M259" s="4">
        <f>K259*L259</f>
        <v>0</v>
      </c>
      <c r="N259" s="4">
        <v>20</v>
      </c>
      <c r="O259" s="4">
        <f>K259-M259+N259</f>
        <v>470</v>
      </c>
      <c r="P259" t="s">
        <v>43</v>
      </c>
      <c r="Q259" t="b">
        <v>1</v>
      </c>
      <c r="R259" t="s">
        <v>55</v>
      </c>
      <c r="S259" t="s">
        <v>68</v>
      </c>
      <c r="T259" t="s">
        <v>69</v>
      </c>
      <c r="U259" t="s">
        <v>70</v>
      </c>
      <c r="V259" t="s">
        <v>63</v>
      </c>
      <c r="W259" t="s">
        <v>582</v>
      </c>
      <c r="X259" t="s">
        <v>72</v>
      </c>
      <c r="Y259">
        <v>9007199254741247</v>
      </c>
      <c r="Z259">
        <v>0</v>
      </c>
      <c r="AA259" t="s">
        <v>63</v>
      </c>
      <c r="AB259" t="b">
        <v>0</v>
      </c>
      <c r="AD259" s="3">
        <v>0.125</v>
      </c>
      <c r="AE259" s="2">
        <v>45904.5</v>
      </c>
      <c r="AF259" t="s">
        <v>60</v>
      </c>
    </row>
    <row r="260">
      <c r="A260" t="s">
        <v>583</v>
      </c>
      <c r="B260" s="2">
        <v>45903.5</v>
      </c>
      <c r="C260" t="s">
        <v>37</v>
      </c>
      <c r="D260" t="s">
        <f>'客户档案'!B3</f>
        <v>38</v>
      </c>
      <c r="E260" t="s">
        <v>74</v>
      </c>
      <c r="F260" t="s">
        <v>75</v>
      </c>
      <c r="G260" t="s">
        <f>'商品目录'!B6</f>
        <v>76</v>
      </c>
      <c r="H260" t="s">
        <v>77</v>
      </c>
      <c r="I260">
        <v>2</v>
      </c>
      <c r="J260" s="4">
        <v>8</v>
      </c>
      <c r="K260" s="4">
        <f>I260*J260</f>
        <v>16</v>
      </c>
      <c r="L260" s="3">
        <v>0.5</v>
      </c>
      <c r="M260" s="4">
        <f>K260*L260</f>
        <v>8</v>
      </c>
      <c r="N260" s="4">
        <v>0</v>
      </c>
      <c r="O260" s="4">
        <f>K260-M260+N260</f>
        <v>8</v>
      </c>
      <c r="P260" t="s">
        <v>43</v>
      </c>
      <c r="Q260" t="b">
        <v>1</v>
      </c>
      <c r="R260" t="s">
        <v>55</v>
      </c>
      <c r="S260" t="s">
        <v>45</v>
      </c>
      <c r="T260" t="s">
        <v>46</v>
      </c>
      <c r="U260" t="s">
        <v>78</v>
      </c>
      <c r="V260" t="s">
        <v>38</v>
      </c>
      <c r="W260" t="s">
        <v>584</v>
      </c>
      <c r="X260" t="s">
        <v>80</v>
      </c>
      <c r="Y260">
        <v>9007199254741248</v>
      </c>
      <c r="Z260">
        <v>2</v>
      </c>
      <c r="AA260" t="s">
        <v>38</v>
      </c>
      <c r="AB260" t="b">
        <v>1</v>
      </c>
      <c r="AD260" s="3">
        <v>0.125</v>
      </c>
      <c r="AE260" s="2">
        <v>45905.5</v>
      </c>
      <c r="AF260" t="s">
        <v>60</v>
      </c>
    </row>
    <row r="261">
      <c r="A261" t="s">
        <v>585</v>
      </c>
      <c r="B261" s="2">
        <v>45904.5</v>
      </c>
      <c r="C261" t="s">
        <v>49</v>
      </c>
      <c r="D261" t="s">
        <f>'客户档案'!B4</f>
        <v>50</v>
      </c>
      <c r="E261" t="s">
        <v>39</v>
      </c>
      <c r="F261" t="s">
        <v>40</v>
      </c>
      <c r="G261" t="s">
        <f>'商品目录'!B3</f>
        <v>41</v>
      </c>
      <c r="H261" t="s">
        <v>42</v>
      </c>
      <c r="I261">
        <v>4</v>
      </c>
      <c r="J261" s="4">
        <v>99</v>
      </c>
      <c r="K261" s="4">
        <f>I261*J261</f>
        <v>396</v>
      </c>
      <c r="L261" s="3">
        <v>0</v>
      </c>
      <c r="M261" s="4">
        <f>K261*L261</f>
        <v>0</v>
      </c>
      <c r="N261" s="4">
        <v>10</v>
      </c>
      <c r="O261" s="4">
        <f>K261-M261+N261</f>
        <v>406</v>
      </c>
      <c r="P261" t="s">
        <v>43</v>
      </c>
      <c r="Q261" t="b">
        <v>0</v>
      </c>
      <c r="R261" t="s">
        <v>44</v>
      </c>
      <c r="S261" t="s">
        <v>56</v>
      </c>
      <c r="T261" t="s">
        <v>57</v>
      </c>
      <c r="U261" t="s">
        <v>39</v>
      </c>
      <c r="V261" t="s">
        <v>50</v>
      </c>
      <c r="W261" t="s">
        <v>586</v>
      </c>
      <c r="X261" t="s">
        <v>0</v>
      </c>
      <c r="Y261">
        <v>9007199254741249</v>
      </c>
      <c r="Z261">
        <v>0</v>
      </c>
      <c r="AA261" t="s">
        <v>50</v>
      </c>
      <c r="AB261" t="b">
        <v>0</v>
      </c>
      <c r="AD261" s="3">
        <v>0.125</v>
      </c>
      <c r="AE261" s="2">
        <v>45906.5</v>
      </c>
      <c r="AF261" t="s">
        <v>60</v>
      </c>
    </row>
    <row r="262">
      <c r="A262" t="s">
        <v>587</v>
      </c>
      <c r="B262" s="2">
        <v>45905.5</v>
      </c>
      <c r="C262" t="s">
        <v>62</v>
      </c>
      <c r="D262" t="s">
        <f>'客户档案'!B5</f>
        <v>63</v>
      </c>
      <c r="E262" t="s">
        <v>51</v>
      </c>
      <c r="F262" t="s">
        <v>52</v>
      </c>
      <c r="G262" t="s">
        <f>'商品目录'!B4</f>
        <v>53</v>
      </c>
      <c r="H262" t="s">
        <v>54</v>
      </c>
      <c r="I262">
        <v>6</v>
      </c>
      <c r="J262" s="4">
        <v>129</v>
      </c>
      <c r="K262" s="4">
        <f>I262*J262</f>
        <v>774</v>
      </c>
      <c r="L262" s="3">
        <v>0.5</v>
      </c>
      <c r="M262" s="4">
        <f>K262*L262</f>
        <v>387</v>
      </c>
      <c r="N262" s="4">
        <v>20</v>
      </c>
      <c r="O262" s="4">
        <f>K262-M262+N262</f>
        <v>407</v>
      </c>
      <c r="P262" t="s">
        <v>43</v>
      </c>
      <c r="Q262" t="b">
        <v>1</v>
      </c>
      <c r="R262" t="s">
        <v>55</v>
      </c>
      <c r="S262" t="s">
        <v>68</v>
      </c>
      <c r="T262" t="s">
        <v>69</v>
      </c>
      <c r="U262" t="s">
        <v>51</v>
      </c>
      <c r="V262" t="s">
        <v>63</v>
      </c>
      <c r="W262" t="s">
        <v>588</v>
      </c>
      <c r="X262" t="s">
        <v>59</v>
      </c>
      <c r="Y262">
        <v>9007199254741250</v>
      </c>
      <c r="Z262">
        <v>0</v>
      </c>
      <c r="AA262" t="s">
        <v>63</v>
      </c>
      <c r="AB262" t="b">
        <v>1</v>
      </c>
      <c r="AD262" s="3">
        <v>0.125</v>
      </c>
      <c r="AE262" s="2">
        <v>45907.5</v>
      </c>
      <c r="AF262" t="s">
        <v>60</v>
      </c>
    </row>
    <row r="263">
      <c r="A263" t="s">
        <v>589</v>
      </c>
      <c r="B263" s="2">
        <v>45906.5</v>
      </c>
      <c r="C263" t="s">
        <v>37</v>
      </c>
      <c r="D263" t="s">
        <f>'客户档案'!B3</f>
        <v>38</v>
      </c>
      <c r="E263" t="s">
        <v>64</v>
      </c>
      <c r="F263" t="s">
        <v>65</v>
      </c>
      <c r="G263" t="s">
        <f>'商品目录'!B5</f>
        <v>66</v>
      </c>
      <c r="H263" t="s">
        <v>67</v>
      </c>
      <c r="I263">
        <v>8</v>
      </c>
      <c r="J263" s="4">
        <v>45</v>
      </c>
      <c r="K263" s="4">
        <f>I263*J263</f>
        <v>360</v>
      </c>
      <c r="L263" s="3">
        <v>0</v>
      </c>
      <c r="M263" s="4">
        <f>K263*L263</f>
        <v>0</v>
      </c>
      <c r="N263" s="4">
        <v>0</v>
      </c>
      <c r="O263" s="4">
        <f>K263-M263+N263</f>
        <v>360</v>
      </c>
      <c r="P263" t="s">
        <v>43</v>
      </c>
      <c r="Q263" t="b">
        <v>1</v>
      </c>
      <c r="R263" t="s">
        <v>55</v>
      </c>
      <c r="S263" t="s">
        <v>45</v>
      </c>
      <c r="T263" t="s">
        <v>46</v>
      </c>
      <c r="U263" t="s">
        <v>70</v>
      </c>
      <c r="V263" t="s">
        <v>38</v>
      </c>
      <c r="W263" t="s">
        <v>590</v>
      </c>
      <c r="X263" t="s">
        <v>72</v>
      </c>
      <c r="Y263">
        <v>9007199254741251</v>
      </c>
      <c r="Z263">
        <v>0</v>
      </c>
      <c r="AA263" t="s">
        <v>38</v>
      </c>
      <c r="AB263" t="b">
        <v>0</v>
      </c>
      <c r="AD263" s="3">
        <v>0.125</v>
      </c>
      <c r="AE263" s="2">
        <v>45908.5</v>
      </c>
      <c r="AF263" t="s">
        <v>60</v>
      </c>
    </row>
    <row r="264">
      <c r="A264" t="s">
        <v>591</v>
      </c>
      <c r="B264" s="2">
        <v>45907.5</v>
      </c>
      <c r="C264" t="s">
        <v>49</v>
      </c>
      <c r="D264" t="s">
        <f>'客户档案'!B4</f>
        <v>50</v>
      </c>
      <c r="E264" t="s">
        <v>74</v>
      </c>
      <c r="F264" t="s">
        <v>75</v>
      </c>
      <c r="G264" t="s">
        <f>'商品目录'!B6</f>
        <v>76</v>
      </c>
      <c r="H264" t="s">
        <v>77</v>
      </c>
      <c r="I264">
        <v>10</v>
      </c>
      <c r="J264" s="4">
        <v>8</v>
      </c>
      <c r="K264" s="4">
        <f>I264*J264</f>
        <v>80</v>
      </c>
      <c r="L264" s="3">
        <v>0.5</v>
      </c>
      <c r="M264" s="4">
        <f>K264*L264</f>
        <v>40</v>
      </c>
      <c r="N264" s="4">
        <v>10</v>
      </c>
      <c r="O264" s="4">
        <f>K264-M264+N264</f>
        <v>50</v>
      </c>
      <c r="P264" t="s">
        <v>43</v>
      </c>
      <c r="Q264" t="b">
        <v>1</v>
      </c>
      <c r="R264" t="s">
        <v>55</v>
      </c>
      <c r="S264" t="s">
        <v>56</v>
      </c>
      <c r="T264" t="s">
        <v>57</v>
      </c>
      <c r="U264" t="s">
        <v>78</v>
      </c>
      <c r="V264" t="s">
        <v>50</v>
      </c>
      <c r="W264" t="s">
        <v>592</v>
      </c>
      <c r="X264" t="s">
        <v>80</v>
      </c>
      <c r="Y264">
        <v>9007199254741252</v>
      </c>
      <c r="Z264">
        <v>0</v>
      </c>
      <c r="AA264" t="s">
        <v>50</v>
      </c>
      <c r="AB264" t="b">
        <v>1</v>
      </c>
      <c r="AD264" s="3">
        <v>0.125</v>
      </c>
      <c r="AE264" s="2">
        <v>45909.5</v>
      </c>
      <c r="AF264" t="s">
        <v>60</v>
      </c>
    </row>
    <row r="265">
      <c r="A265" t="s">
        <v>593</v>
      </c>
      <c r="B265" s="2">
        <v>45908.5</v>
      </c>
      <c r="C265" t="s">
        <v>62</v>
      </c>
      <c r="D265" t="s">
        <f>'客户档案'!B5</f>
        <v>63</v>
      </c>
      <c r="E265" t="s">
        <v>39</v>
      </c>
      <c r="F265" t="s">
        <v>40</v>
      </c>
      <c r="G265" t="s">
        <f>'商品目录'!B3</f>
        <v>41</v>
      </c>
      <c r="H265" t="s">
        <v>42</v>
      </c>
      <c r="I265">
        <v>2</v>
      </c>
      <c r="J265" s="4">
        <v>99</v>
      </c>
      <c r="K265" s="4">
        <f>I265*J265</f>
        <v>198</v>
      </c>
      <c r="L265" s="3">
        <v>0</v>
      </c>
      <c r="M265" s="4">
        <f>K265*L265</f>
        <v>0</v>
      </c>
      <c r="N265" s="4">
        <v>20</v>
      </c>
      <c r="O265" s="4">
        <f>K265-M265+N265</f>
        <v>218</v>
      </c>
      <c r="P265" t="s">
        <v>43</v>
      </c>
      <c r="Q265" t="b">
        <v>0</v>
      </c>
      <c r="R265" t="s">
        <v>44</v>
      </c>
      <c r="S265" t="s">
        <v>68</v>
      </c>
      <c r="T265" t="s">
        <v>69</v>
      </c>
      <c r="U265" t="s">
        <v>39</v>
      </c>
      <c r="V265" t="s">
        <v>63</v>
      </c>
      <c r="W265" t="s">
        <v>594</v>
      </c>
      <c r="X265" t="s">
        <v>0</v>
      </c>
      <c r="Y265">
        <v>9007199254741253</v>
      </c>
      <c r="Z265">
        <v>0</v>
      </c>
      <c r="AA265" t="s">
        <v>63</v>
      </c>
      <c r="AB265" t="b">
        <v>0</v>
      </c>
      <c r="AD265" s="3">
        <v>0.125</v>
      </c>
      <c r="AE265" s="2">
        <v>45910.5</v>
      </c>
      <c r="AF265" t="s">
        <v>60</v>
      </c>
    </row>
    <row r="266">
      <c r="A266" t="s">
        <v>595</v>
      </c>
      <c r="B266" s="2">
        <v>45909.5</v>
      </c>
      <c r="C266" t="s">
        <v>37</v>
      </c>
      <c r="D266" t="s">
        <f>'客户档案'!B3</f>
        <v>38</v>
      </c>
      <c r="E266" t="s">
        <v>51</v>
      </c>
      <c r="F266" t="s">
        <v>52</v>
      </c>
      <c r="G266" t="s">
        <f>'商品目录'!B4</f>
        <v>53</v>
      </c>
      <c r="H266" t="s">
        <v>54</v>
      </c>
      <c r="I266">
        <v>4</v>
      </c>
      <c r="J266" s="4">
        <v>129</v>
      </c>
      <c r="K266" s="4">
        <f>I266*J266</f>
        <v>516</v>
      </c>
      <c r="L266" s="3">
        <v>0.5</v>
      </c>
      <c r="M266" s="4">
        <f>K266*L266</f>
        <v>258</v>
      </c>
      <c r="N266" s="4">
        <v>0</v>
      </c>
      <c r="O266" s="4">
        <f>K266-M266+N266</f>
        <v>258</v>
      </c>
      <c r="P266" t="s">
        <v>43</v>
      </c>
      <c r="Q266" t="b">
        <v>1</v>
      </c>
      <c r="R266" t="s">
        <v>55</v>
      </c>
      <c r="S266" t="s">
        <v>45</v>
      </c>
      <c r="T266" t="s">
        <v>46</v>
      </c>
      <c r="U266" t="s">
        <v>51</v>
      </c>
      <c r="V266" t="s">
        <v>38</v>
      </c>
      <c r="W266" t="s">
        <v>596</v>
      </c>
      <c r="X266" t="s">
        <v>59</v>
      </c>
      <c r="Y266">
        <v>9007199254741254</v>
      </c>
      <c r="Z266">
        <v>0</v>
      </c>
      <c r="AA266" t="s">
        <v>38</v>
      </c>
      <c r="AB266" t="b">
        <v>1</v>
      </c>
      <c r="AD266" s="3">
        <v>0.125</v>
      </c>
      <c r="AE266" s="2">
        <v>45911.5</v>
      </c>
      <c r="AF266" t="s">
        <v>60</v>
      </c>
    </row>
    <row r="267">
      <c r="A267" t="s">
        <v>597</v>
      </c>
      <c r="B267" s="2">
        <v>45910.5</v>
      </c>
      <c r="C267" t="s">
        <v>49</v>
      </c>
      <c r="D267" t="s">
        <f>'客户档案'!B4</f>
        <v>50</v>
      </c>
      <c r="E267" t="s">
        <v>64</v>
      </c>
      <c r="F267" t="s">
        <v>65</v>
      </c>
      <c r="G267" t="s">
        <f>'商品目录'!B5</f>
        <v>66</v>
      </c>
      <c r="H267" t="s">
        <v>67</v>
      </c>
      <c r="I267">
        <v>6</v>
      </c>
      <c r="J267" s="4">
        <v>45</v>
      </c>
      <c r="K267" s="4">
        <f>I267*J267</f>
        <v>270</v>
      </c>
      <c r="L267" s="3">
        <v>0</v>
      </c>
      <c r="M267" s="4">
        <f>K267*L267</f>
        <v>0</v>
      </c>
      <c r="N267" s="4">
        <v>10</v>
      </c>
      <c r="O267" s="4">
        <f>K267-M267+N267</f>
        <v>280</v>
      </c>
      <c r="P267" t="s">
        <v>43</v>
      </c>
      <c r="Q267" t="b">
        <v>1</v>
      </c>
      <c r="R267" t="s">
        <v>55</v>
      </c>
      <c r="S267" t="s">
        <v>56</v>
      </c>
      <c r="T267" t="s">
        <v>57</v>
      </c>
      <c r="U267" t="s">
        <v>70</v>
      </c>
      <c r="V267" t="s">
        <v>50</v>
      </c>
      <c r="W267" t="s">
        <v>598</v>
      </c>
      <c r="X267" t="s">
        <v>72</v>
      </c>
      <c r="Y267">
        <v>9007199254741255</v>
      </c>
      <c r="Z267">
        <v>0</v>
      </c>
      <c r="AA267" t="s">
        <v>50</v>
      </c>
      <c r="AB267" t="b">
        <v>0</v>
      </c>
      <c r="AD267" s="3">
        <v>0.125</v>
      </c>
      <c r="AE267" s="2">
        <v>45912.5</v>
      </c>
      <c r="AF267" t="s">
        <v>60</v>
      </c>
    </row>
    <row r="268">
      <c r="A268" t="s">
        <v>599</v>
      </c>
      <c r="B268" s="2">
        <v>45911.5</v>
      </c>
      <c r="C268" t="s">
        <v>62</v>
      </c>
      <c r="D268" t="s">
        <f>'客户档案'!B5</f>
        <v>63</v>
      </c>
      <c r="E268" t="s">
        <v>74</v>
      </c>
      <c r="F268" t="s">
        <v>75</v>
      </c>
      <c r="G268" t="s">
        <f>'商品目录'!B6</f>
        <v>76</v>
      </c>
      <c r="H268" t="s">
        <v>77</v>
      </c>
      <c r="I268">
        <v>8</v>
      </c>
      <c r="J268" s="4">
        <v>8</v>
      </c>
      <c r="K268" s="4">
        <f>I268*J268</f>
        <v>64</v>
      </c>
      <c r="L268" s="3">
        <v>0.5</v>
      </c>
      <c r="M268" s="4">
        <f>K268*L268</f>
        <v>32</v>
      </c>
      <c r="N268" s="4">
        <v>20</v>
      </c>
      <c r="O268" s="4">
        <f>K268-M268+N268</f>
        <v>52</v>
      </c>
      <c r="P268" t="s">
        <v>43</v>
      </c>
      <c r="Q268" t="b">
        <v>1</v>
      </c>
      <c r="R268" t="s">
        <v>55</v>
      </c>
      <c r="S268" t="s">
        <v>68</v>
      </c>
      <c r="T268" t="s">
        <v>69</v>
      </c>
      <c r="U268" t="s">
        <v>78</v>
      </c>
      <c r="V268" t="s">
        <v>63</v>
      </c>
      <c r="W268" t="s">
        <v>600</v>
      </c>
      <c r="X268" t="s">
        <v>80</v>
      </c>
      <c r="Y268">
        <v>9007199254741256</v>
      </c>
      <c r="Z268">
        <v>0</v>
      </c>
      <c r="AA268" t="s">
        <v>63</v>
      </c>
      <c r="AB268" t="b">
        <v>1</v>
      </c>
      <c r="AD268" s="3">
        <v>0.125</v>
      </c>
      <c r="AE268" s="2">
        <v>45913.5</v>
      </c>
      <c r="AF268" t="s">
        <v>60</v>
      </c>
    </row>
    <row r="269">
      <c r="A269" t="s">
        <v>601</v>
      </c>
      <c r="B269" s="2">
        <v>45912.5</v>
      </c>
      <c r="C269" t="s">
        <v>37</v>
      </c>
      <c r="D269" t="s">
        <f>'客户档案'!B3</f>
        <v>38</v>
      </c>
      <c r="E269" t="s">
        <v>39</v>
      </c>
      <c r="F269" t="s">
        <v>40</v>
      </c>
      <c r="G269" t="s">
        <f>'商品目录'!B3</f>
        <v>41</v>
      </c>
      <c r="H269" t="s">
        <v>42</v>
      </c>
      <c r="I269">
        <v>10</v>
      </c>
      <c r="J269" s="4">
        <v>99</v>
      </c>
      <c r="K269" s="4">
        <f>I269*J269</f>
        <v>990</v>
      </c>
      <c r="L269" s="3">
        <v>0</v>
      </c>
      <c r="M269" s="4">
        <f>K269*L269</f>
        <v>0</v>
      </c>
      <c r="N269" s="4">
        <v>0</v>
      </c>
      <c r="O269" s="4">
        <f>K269-M269+N269</f>
        <v>990</v>
      </c>
      <c r="P269" t="s">
        <v>43</v>
      </c>
      <c r="Q269" t="b">
        <v>0</v>
      </c>
      <c r="R269" t="s">
        <v>44</v>
      </c>
      <c r="S269" t="s">
        <v>45</v>
      </c>
      <c r="T269" t="s">
        <v>46</v>
      </c>
      <c r="U269" t="s">
        <v>39</v>
      </c>
      <c r="V269" t="s">
        <v>38</v>
      </c>
      <c r="W269" t="s">
        <v>602</v>
      </c>
      <c r="X269" t="s">
        <v>0</v>
      </c>
      <c r="Y269">
        <v>9007199254741257</v>
      </c>
      <c r="Z269">
        <v>0</v>
      </c>
      <c r="AA269" t="s">
        <v>38</v>
      </c>
      <c r="AB269" t="b">
        <v>0</v>
      </c>
      <c r="AD269" s="3">
        <v>0.125</v>
      </c>
      <c r="AE269" s="2">
        <v>45914.5</v>
      </c>
      <c r="AF269" t="s">
        <v>60</v>
      </c>
    </row>
    <row r="270">
      <c r="A270" t="s">
        <v>603</v>
      </c>
      <c r="B270" s="2">
        <v>45913.5</v>
      </c>
      <c r="C270" t="s">
        <v>49</v>
      </c>
      <c r="D270" t="s">
        <f>'客户档案'!B4</f>
        <v>50</v>
      </c>
      <c r="E270" t="s">
        <v>51</v>
      </c>
      <c r="F270" t="s">
        <v>52</v>
      </c>
      <c r="G270" t="s">
        <f>'商品目录'!B4</f>
        <v>53</v>
      </c>
      <c r="H270" t="s">
        <v>54</v>
      </c>
      <c r="I270">
        <v>2</v>
      </c>
      <c r="J270" s="4">
        <v>129</v>
      </c>
      <c r="K270" s="4">
        <f>I270*J270</f>
        <v>258</v>
      </c>
      <c r="L270" s="3">
        <v>0.5</v>
      </c>
      <c r="M270" s="4">
        <f>K270*L270</f>
        <v>129</v>
      </c>
      <c r="N270" s="4">
        <v>10</v>
      </c>
      <c r="O270" s="4">
        <f>K270-M270+N270</f>
        <v>139</v>
      </c>
      <c r="P270" t="s">
        <v>43</v>
      </c>
      <c r="Q270" t="b">
        <v>1</v>
      </c>
      <c r="R270" t="s">
        <v>55</v>
      </c>
      <c r="S270" t="s">
        <v>56</v>
      </c>
      <c r="T270" t="s">
        <v>57</v>
      </c>
      <c r="U270" t="s">
        <v>51</v>
      </c>
      <c r="V270" t="s">
        <v>50</v>
      </c>
      <c r="W270" t="s">
        <v>604</v>
      </c>
      <c r="X270" t="s">
        <v>59</v>
      </c>
      <c r="Y270">
        <v>9007199254741258</v>
      </c>
      <c r="Z270">
        <v>0</v>
      </c>
      <c r="AA270" t="s">
        <v>50</v>
      </c>
      <c r="AB270" t="b">
        <v>1</v>
      </c>
      <c r="AD270" s="3">
        <v>0.125</v>
      </c>
      <c r="AE270" s="2">
        <v>45915.5</v>
      </c>
      <c r="AF270" t="s">
        <v>60</v>
      </c>
    </row>
    <row r="271">
      <c r="A271" t="s">
        <v>605</v>
      </c>
      <c r="B271" s="2">
        <v>45914.5</v>
      </c>
      <c r="C271" t="s">
        <v>62</v>
      </c>
      <c r="D271" t="s">
        <f>'客户档案'!B5</f>
        <v>63</v>
      </c>
      <c r="E271" t="s">
        <v>64</v>
      </c>
      <c r="F271" t="s">
        <v>65</v>
      </c>
      <c r="G271" t="s">
        <f>'商品目录'!B5</f>
        <v>66</v>
      </c>
      <c r="H271" t="s">
        <v>67</v>
      </c>
      <c r="I271">
        <v>4</v>
      </c>
      <c r="J271" s="4">
        <v>45</v>
      </c>
      <c r="K271" s="4">
        <f>I271*J271</f>
        <v>180</v>
      </c>
      <c r="L271" s="3">
        <v>0</v>
      </c>
      <c r="M271" s="4">
        <f>K271*L271</f>
        <v>0</v>
      </c>
      <c r="N271" s="4">
        <v>20</v>
      </c>
      <c r="O271" s="4">
        <f>K271-M271+N271</f>
        <v>200</v>
      </c>
      <c r="P271" t="s">
        <v>43</v>
      </c>
      <c r="Q271" t="b">
        <v>1</v>
      </c>
      <c r="R271" t="s">
        <v>55</v>
      </c>
      <c r="S271" t="s">
        <v>68</v>
      </c>
      <c r="T271" t="s">
        <v>69</v>
      </c>
      <c r="U271" t="s">
        <v>70</v>
      </c>
      <c r="V271" t="s">
        <v>63</v>
      </c>
      <c r="W271" t="s">
        <v>606</v>
      </c>
      <c r="X271" t="s">
        <v>72</v>
      </c>
      <c r="Y271">
        <v>9007199254741259</v>
      </c>
      <c r="Z271">
        <v>0</v>
      </c>
      <c r="AA271" t="s">
        <v>63</v>
      </c>
      <c r="AB271" t="b">
        <v>0</v>
      </c>
      <c r="AD271" s="3">
        <v>0.125</v>
      </c>
      <c r="AE271" s="2">
        <v>45916.5</v>
      </c>
      <c r="AF271" t="s">
        <v>60</v>
      </c>
    </row>
    <row r="272">
      <c r="A272" t="s">
        <v>607</v>
      </c>
      <c r="B272" s="2">
        <v>45915.5</v>
      </c>
      <c r="C272" t="s">
        <v>37</v>
      </c>
      <c r="D272" t="s">
        <f>'客户档案'!B3</f>
        <v>38</v>
      </c>
      <c r="E272" t="s">
        <v>74</v>
      </c>
      <c r="F272" t="s">
        <v>75</v>
      </c>
      <c r="G272" t="s">
        <f>'商品目录'!B6</f>
        <v>76</v>
      </c>
      <c r="H272" t="s">
        <v>77</v>
      </c>
      <c r="I272">
        <v>6</v>
      </c>
      <c r="J272" s="4">
        <v>8</v>
      </c>
      <c r="K272" s="4">
        <f>I272*J272</f>
        <v>48</v>
      </c>
      <c r="L272" s="3">
        <v>0.5</v>
      </c>
      <c r="M272" s="4">
        <f>K272*L272</f>
        <v>24</v>
      </c>
      <c r="N272" s="4">
        <v>0</v>
      </c>
      <c r="O272" s="4">
        <f>K272-M272+N272</f>
        <v>24</v>
      </c>
      <c r="P272" t="s">
        <v>43</v>
      </c>
      <c r="Q272" t="b">
        <v>1</v>
      </c>
      <c r="R272" t="s">
        <v>55</v>
      </c>
      <c r="S272" t="s">
        <v>45</v>
      </c>
      <c r="T272" t="s">
        <v>46</v>
      </c>
      <c r="U272" t="s">
        <v>78</v>
      </c>
      <c r="V272" t="s">
        <v>38</v>
      </c>
      <c r="W272" t="s">
        <v>608</v>
      </c>
      <c r="X272" t="s">
        <v>80</v>
      </c>
      <c r="Y272">
        <v>9007199254741260</v>
      </c>
      <c r="Z272">
        <v>0</v>
      </c>
      <c r="AA272" t="s">
        <v>38</v>
      </c>
      <c r="AB272" t="b">
        <v>1</v>
      </c>
      <c r="AD272" s="3">
        <v>0.125</v>
      </c>
      <c r="AE272" s="2">
        <v>45917.5</v>
      </c>
      <c r="AF272" t="s">
        <v>60</v>
      </c>
    </row>
    <row r="273">
      <c r="A273" t="s">
        <v>609</v>
      </c>
      <c r="B273" s="2">
        <v>45916.5</v>
      </c>
      <c r="C273" t="s">
        <v>49</v>
      </c>
      <c r="D273" t="s">
        <f>'客户档案'!B4</f>
        <v>50</v>
      </c>
      <c r="E273" t="s">
        <v>39</v>
      </c>
      <c r="F273" t="s">
        <v>40</v>
      </c>
      <c r="G273" t="s">
        <f>'商品目录'!B3</f>
        <v>41</v>
      </c>
      <c r="H273" t="s">
        <v>42</v>
      </c>
      <c r="I273">
        <v>8</v>
      </c>
      <c r="J273" s="4">
        <v>99</v>
      </c>
      <c r="K273" s="4">
        <f>I273*J273</f>
        <v>792</v>
      </c>
      <c r="L273" s="3">
        <v>0</v>
      </c>
      <c r="M273" s="4">
        <f>K273*L273</f>
        <v>0</v>
      </c>
      <c r="N273" s="4">
        <v>10</v>
      </c>
      <c r="O273" s="4">
        <f>K273-M273+N273</f>
        <v>802</v>
      </c>
      <c r="P273" t="s">
        <v>43</v>
      </c>
      <c r="Q273" t="b">
        <v>0</v>
      </c>
      <c r="R273" t="s">
        <v>44</v>
      </c>
      <c r="S273" t="s">
        <v>56</v>
      </c>
      <c r="T273" t="s">
        <v>57</v>
      </c>
      <c r="U273" t="s">
        <v>39</v>
      </c>
      <c r="V273" t="s">
        <v>50</v>
      </c>
      <c r="W273" t="s">
        <v>610</v>
      </c>
      <c r="X273" t="s">
        <v>0</v>
      </c>
      <c r="Y273">
        <v>9007199254741261</v>
      </c>
      <c r="Z273">
        <v>0</v>
      </c>
      <c r="AA273" t="s">
        <v>50</v>
      </c>
      <c r="AB273" t="b">
        <v>0</v>
      </c>
      <c r="AD273" s="3">
        <v>0.125</v>
      </c>
      <c r="AE273" s="2">
        <v>45918.5</v>
      </c>
      <c r="AF273" t="s">
        <v>60</v>
      </c>
    </row>
    <row r="274">
      <c r="A274" t="s">
        <v>611</v>
      </c>
      <c r="B274" s="2">
        <v>45917.5</v>
      </c>
      <c r="C274" t="s">
        <v>62</v>
      </c>
      <c r="D274" t="s">
        <f>'客户档案'!B5</f>
        <v>63</v>
      </c>
      <c r="E274" t="s">
        <v>51</v>
      </c>
      <c r="F274" t="s">
        <v>52</v>
      </c>
      <c r="G274" t="s">
        <f>'商品目录'!B4</f>
        <v>53</v>
      </c>
      <c r="H274" t="s">
        <v>54</v>
      </c>
      <c r="I274">
        <v>10</v>
      </c>
      <c r="J274" s="4">
        <v>129</v>
      </c>
      <c r="K274" s="4">
        <f>I274*J274</f>
        <v>1290</v>
      </c>
      <c r="L274" s="3">
        <v>0.5</v>
      </c>
      <c r="M274" s="4">
        <f>K274*L274</f>
        <v>645</v>
      </c>
      <c r="N274" s="4">
        <v>20</v>
      </c>
      <c r="O274" s="4">
        <f>K274-M274+N274</f>
        <v>665</v>
      </c>
      <c r="P274" t="s">
        <v>43</v>
      </c>
      <c r="Q274" t="b">
        <v>1</v>
      </c>
      <c r="R274" t="s">
        <v>55</v>
      </c>
      <c r="S274" t="s">
        <v>68</v>
      </c>
      <c r="T274" t="s">
        <v>69</v>
      </c>
      <c r="U274" t="s">
        <v>51</v>
      </c>
      <c r="V274" t="s">
        <v>63</v>
      </c>
      <c r="W274" t="s">
        <v>612</v>
      </c>
      <c r="X274" t="s">
        <v>59</v>
      </c>
      <c r="Y274">
        <v>9007199254741262</v>
      </c>
      <c r="Z274">
        <v>0</v>
      </c>
      <c r="AA274" t="s">
        <v>63</v>
      </c>
      <c r="AB274" t="b">
        <v>1</v>
      </c>
      <c r="AD274" s="3">
        <v>0.125</v>
      </c>
      <c r="AE274" s="2">
        <v>45919.5</v>
      </c>
      <c r="AF274" t="s">
        <v>60</v>
      </c>
    </row>
    <row r="275">
      <c r="A275" t="s">
        <v>613</v>
      </c>
      <c r="B275" s="2">
        <v>45918.5</v>
      </c>
      <c r="C275" t="s">
        <v>37</v>
      </c>
      <c r="D275" t="s">
        <f>'客户档案'!B3</f>
        <v>38</v>
      </c>
      <c r="E275" t="s">
        <v>64</v>
      </c>
      <c r="F275" t="s">
        <v>65</v>
      </c>
      <c r="G275" t="s">
        <f>'商品目录'!B5</f>
        <v>66</v>
      </c>
      <c r="H275" t="s">
        <v>67</v>
      </c>
      <c r="I275">
        <v>2</v>
      </c>
      <c r="J275" s="4">
        <v>45</v>
      </c>
      <c r="K275" s="4">
        <f>I275*J275</f>
        <v>90</v>
      </c>
      <c r="L275" s="3">
        <v>0</v>
      </c>
      <c r="M275" s="4">
        <f>K275*L275</f>
        <v>0</v>
      </c>
      <c r="N275" s="4">
        <v>0</v>
      </c>
      <c r="O275" s="4">
        <f>K275-M275+N275</f>
        <v>90</v>
      </c>
      <c r="P275" t="s">
        <v>43</v>
      </c>
      <c r="Q275" t="b">
        <v>1</v>
      </c>
      <c r="R275" t="s">
        <v>55</v>
      </c>
      <c r="S275" t="s">
        <v>45</v>
      </c>
      <c r="T275" t="s">
        <v>46</v>
      </c>
      <c r="U275" t="s">
        <v>70</v>
      </c>
      <c r="V275" t="s">
        <v>38</v>
      </c>
      <c r="W275" t="s">
        <v>614</v>
      </c>
      <c r="X275" t="s">
        <v>72</v>
      </c>
      <c r="Y275">
        <v>9007199254741263</v>
      </c>
      <c r="Z275">
        <v>0</v>
      </c>
      <c r="AA275" t="s">
        <v>38</v>
      </c>
      <c r="AB275" t="b">
        <v>0</v>
      </c>
      <c r="AD275" s="3">
        <v>0.125</v>
      </c>
      <c r="AE275" s="2">
        <v>45920.5</v>
      </c>
      <c r="AF275" t="s">
        <v>60</v>
      </c>
    </row>
    <row r="276">
      <c r="A276" t="s">
        <v>615</v>
      </c>
      <c r="B276" s="2">
        <v>45919.5</v>
      </c>
      <c r="C276" t="s">
        <v>49</v>
      </c>
      <c r="D276" t="s">
        <f>'客户档案'!B4</f>
        <v>50</v>
      </c>
      <c r="E276" t="s">
        <v>74</v>
      </c>
      <c r="F276" t="s">
        <v>75</v>
      </c>
      <c r="G276" t="s">
        <f>'商品目录'!B6</f>
        <v>76</v>
      </c>
      <c r="H276" t="s">
        <v>77</v>
      </c>
      <c r="I276">
        <v>4</v>
      </c>
      <c r="J276" s="4">
        <v>8</v>
      </c>
      <c r="K276" s="4">
        <f>I276*J276</f>
        <v>32</v>
      </c>
      <c r="L276" s="3">
        <v>0.5</v>
      </c>
      <c r="M276" s="4">
        <f>K276*L276</f>
        <v>16</v>
      </c>
      <c r="N276" s="4">
        <v>10</v>
      </c>
      <c r="O276" s="4">
        <f>K276-M276+N276</f>
        <v>26</v>
      </c>
      <c r="P276" t="s">
        <v>43</v>
      </c>
      <c r="Q276" t="b">
        <v>1</v>
      </c>
      <c r="R276" t="s">
        <v>55</v>
      </c>
      <c r="S276" t="s">
        <v>56</v>
      </c>
      <c r="T276" t="s">
        <v>57</v>
      </c>
      <c r="U276" t="s">
        <v>78</v>
      </c>
      <c r="V276" t="s">
        <v>50</v>
      </c>
      <c r="W276" t="s">
        <v>616</v>
      </c>
      <c r="X276" t="s">
        <v>80</v>
      </c>
      <c r="Y276">
        <v>9007199254741264</v>
      </c>
      <c r="Z276">
        <v>0</v>
      </c>
      <c r="AA276" t="s">
        <v>50</v>
      </c>
      <c r="AB276" t="b">
        <v>1</v>
      </c>
      <c r="AD276" s="3">
        <v>0.125</v>
      </c>
      <c r="AE276" s="2">
        <v>45921.5</v>
      </c>
      <c r="AF276" t="s">
        <v>60</v>
      </c>
    </row>
    <row r="277">
      <c r="A277" t="s">
        <v>617</v>
      </c>
      <c r="B277" s="2">
        <v>45920.5</v>
      </c>
      <c r="C277" t="s">
        <v>62</v>
      </c>
      <c r="D277" t="s">
        <f>'客户档案'!B5</f>
        <v>63</v>
      </c>
      <c r="E277" t="s">
        <v>39</v>
      </c>
      <c r="F277" t="s">
        <v>40</v>
      </c>
      <c r="G277" t="s">
        <f>'商品目录'!B3</f>
        <v>41</v>
      </c>
      <c r="H277" t="s">
        <v>42</v>
      </c>
      <c r="I277">
        <v>6</v>
      </c>
      <c r="J277" s="4">
        <v>99</v>
      </c>
      <c r="K277" s="4">
        <f>I277*J277</f>
        <v>594</v>
      </c>
      <c r="L277" s="3">
        <v>0</v>
      </c>
      <c r="M277" s="4">
        <f>K277*L277</f>
        <v>0</v>
      </c>
      <c r="N277" s="4">
        <v>20</v>
      </c>
      <c r="O277" s="4">
        <f>K277-M277+N277</f>
        <v>614</v>
      </c>
      <c r="P277" t="s">
        <v>43</v>
      </c>
      <c r="Q277" t="b">
        <v>0</v>
      </c>
      <c r="R277" t="s">
        <v>44</v>
      </c>
      <c r="S277" t="s">
        <v>68</v>
      </c>
      <c r="T277" t="s">
        <v>69</v>
      </c>
      <c r="U277" t="s">
        <v>39</v>
      </c>
      <c r="V277" t="s">
        <v>63</v>
      </c>
      <c r="W277" t="s">
        <v>618</v>
      </c>
      <c r="X277" t="s">
        <v>0</v>
      </c>
      <c r="Y277">
        <v>9007199254741265</v>
      </c>
      <c r="Z277">
        <v>2</v>
      </c>
      <c r="AA277" t="s">
        <v>63</v>
      </c>
      <c r="AB277" t="b">
        <v>0</v>
      </c>
      <c r="AD277" s="3">
        <v>0.125</v>
      </c>
      <c r="AE277" s="2">
        <v>45922.5</v>
      </c>
      <c r="AF277" t="s">
        <v>60</v>
      </c>
    </row>
    <row r="278">
      <c r="A278" t="s">
        <v>619</v>
      </c>
      <c r="B278" s="2">
        <v>45921.5</v>
      </c>
      <c r="C278" t="s">
        <v>37</v>
      </c>
      <c r="D278" t="s">
        <f>'客户档案'!B3</f>
        <v>38</v>
      </c>
      <c r="E278" t="s">
        <v>51</v>
      </c>
      <c r="F278" t="s">
        <v>52</v>
      </c>
      <c r="G278" t="s">
        <f>'商品目录'!B4</f>
        <v>53</v>
      </c>
      <c r="H278" t="s">
        <v>54</v>
      </c>
      <c r="I278">
        <v>8</v>
      </c>
      <c r="J278" s="4">
        <v>129</v>
      </c>
      <c r="K278" s="4">
        <f>I278*J278</f>
        <v>1032</v>
      </c>
      <c r="L278" s="3">
        <v>0.5</v>
      </c>
      <c r="M278" s="4">
        <f>K278*L278</f>
        <v>516</v>
      </c>
      <c r="N278" s="4">
        <v>0</v>
      </c>
      <c r="O278" s="4">
        <f>K278-M278+N278</f>
        <v>516</v>
      </c>
      <c r="P278" t="s">
        <v>43</v>
      </c>
      <c r="Q278" t="b">
        <v>1</v>
      </c>
      <c r="R278" t="s">
        <v>55</v>
      </c>
      <c r="S278" t="s">
        <v>45</v>
      </c>
      <c r="T278" t="s">
        <v>46</v>
      </c>
      <c r="U278" t="s">
        <v>51</v>
      </c>
      <c r="V278" t="s">
        <v>38</v>
      </c>
      <c r="W278" t="s">
        <v>620</v>
      </c>
      <c r="X278" t="s">
        <v>59</v>
      </c>
      <c r="Y278">
        <v>9007199254741266</v>
      </c>
      <c r="Z278">
        <v>0</v>
      </c>
      <c r="AA278" t="s">
        <v>38</v>
      </c>
      <c r="AB278" t="b">
        <v>1</v>
      </c>
      <c r="AD278" s="3">
        <v>0.125</v>
      </c>
      <c r="AE278" s="2">
        <v>45923.5</v>
      </c>
      <c r="AF278" t="s">
        <v>60</v>
      </c>
    </row>
    <row r="279">
      <c r="A279" t="s">
        <v>621</v>
      </c>
      <c r="B279" s="2">
        <v>45922.5</v>
      </c>
      <c r="C279" t="s">
        <v>49</v>
      </c>
      <c r="D279" t="s">
        <f>'客户档案'!B4</f>
        <v>50</v>
      </c>
      <c r="E279" t="s">
        <v>64</v>
      </c>
      <c r="F279" t="s">
        <v>65</v>
      </c>
      <c r="G279" t="s">
        <f>'商品目录'!B5</f>
        <v>66</v>
      </c>
      <c r="H279" t="s">
        <v>67</v>
      </c>
      <c r="I279">
        <v>10</v>
      </c>
      <c r="J279" s="4">
        <v>45</v>
      </c>
      <c r="K279" s="4">
        <f>I279*J279</f>
        <v>450</v>
      </c>
      <c r="L279" s="3">
        <v>0</v>
      </c>
      <c r="M279" s="4">
        <f>K279*L279</f>
        <v>0</v>
      </c>
      <c r="N279" s="4">
        <v>10</v>
      </c>
      <c r="O279" s="4">
        <f>K279-M279+N279</f>
        <v>460</v>
      </c>
      <c r="P279" t="s">
        <v>43</v>
      </c>
      <c r="Q279" t="b">
        <v>1</v>
      </c>
      <c r="R279" t="s">
        <v>55</v>
      </c>
      <c r="S279" t="s">
        <v>56</v>
      </c>
      <c r="T279" t="s">
        <v>57</v>
      </c>
      <c r="U279" t="s">
        <v>70</v>
      </c>
      <c r="V279" t="s">
        <v>50</v>
      </c>
      <c r="W279" t="s">
        <v>622</v>
      </c>
      <c r="X279" t="s">
        <v>72</v>
      </c>
      <c r="Y279">
        <v>9007199254741267</v>
      </c>
      <c r="Z279">
        <v>0</v>
      </c>
      <c r="AA279" t="s">
        <v>50</v>
      </c>
      <c r="AB279" t="b">
        <v>0</v>
      </c>
      <c r="AD279" s="3">
        <v>0.125</v>
      </c>
      <c r="AE279" s="2">
        <v>45924.5</v>
      </c>
      <c r="AF279" t="s">
        <v>60</v>
      </c>
    </row>
    <row r="280">
      <c r="A280" t="s">
        <v>623</v>
      </c>
      <c r="B280" s="2">
        <v>45923.5</v>
      </c>
      <c r="C280" t="s">
        <v>62</v>
      </c>
      <c r="D280" t="s">
        <f>'客户档案'!B5</f>
        <v>63</v>
      </c>
      <c r="E280" t="s">
        <v>74</v>
      </c>
      <c r="F280" t="s">
        <v>75</v>
      </c>
      <c r="G280" t="s">
        <f>'商品目录'!B6</f>
        <v>76</v>
      </c>
      <c r="H280" t="s">
        <v>77</v>
      </c>
      <c r="I280">
        <v>2</v>
      </c>
      <c r="J280" s="4">
        <v>8</v>
      </c>
      <c r="K280" s="4">
        <f>I280*J280</f>
        <v>16</v>
      </c>
      <c r="L280" s="3">
        <v>0.5</v>
      </c>
      <c r="M280" s="4">
        <f>K280*L280</f>
        <v>8</v>
      </c>
      <c r="N280" s="4">
        <v>20</v>
      </c>
      <c r="O280" s="4">
        <f>K280-M280+N280</f>
        <v>28</v>
      </c>
      <c r="P280" t="s">
        <v>43</v>
      </c>
      <c r="Q280" t="b">
        <v>1</v>
      </c>
      <c r="R280" t="s">
        <v>55</v>
      </c>
      <c r="S280" t="s">
        <v>68</v>
      </c>
      <c r="T280" t="s">
        <v>69</v>
      </c>
      <c r="U280" t="s">
        <v>78</v>
      </c>
      <c r="V280" t="s">
        <v>63</v>
      </c>
      <c r="W280" t="s">
        <v>624</v>
      </c>
      <c r="X280" t="s">
        <v>80</v>
      </c>
      <c r="Y280">
        <v>9007199254741268</v>
      </c>
      <c r="Z280">
        <v>0</v>
      </c>
      <c r="AA280" t="s">
        <v>63</v>
      </c>
      <c r="AB280" t="b">
        <v>1</v>
      </c>
      <c r="AD280" s="3">
        <v>0.125</v>
      </c>
      <c r="AE280" s="2">
        <v>45925.5</v>
      </c>
      <c r="AF280" t="s">
        <v>60</v>
      </c>
    </row>
    <row r="281">
      <c r="A281" t="s">
        <v>625</v>
      </c>
      <c r="B281" s="2">
        <v>45924.5</v>
      </c>
      <c r="C281" t="s">
        <v>37</v>
      </c>
      <c r="D281" t="s">
        <f>'客户档案'!B3</f>
        <v>38</v>
      </c>
      <c r="E281" t="s">
        <v>39</v>
      </c>
      <c r="F281" t="s">
        <v>40</v>
      </c>
      <c r="G281" t="s">
        <f>'商品目录'!B3</f>
        <v>41</v>
      </c>
      <c r="H281" t="s">
        <v>42</v>
      </c>
      <c r="I281">
        <v>4</v>
      </c>
      <c r="J281" s="4">
        <v>99</v>
      </c>
      <c r="K281" s="4">
        <f>I281*J281</f>
        <v>396</v>
      </c>
      <c r="L281" s="3">
        <v>0</v>
      </c>
      <c r="M281" s="4">
        <f>K281*L281</f>
        <v>0</v>
      </c>
      <c r="N281" s="4">
        <v>0</v>
      </c>
      <c r="O281" s="4">
        <f>K281-M281+N281</f>
        <v>396</v>
      </c>
      <c r="P281" t="s">
        <v>43</v>
      </c>
      <c r="Q281" t="b">
        <v>0</v>
      </c>
      <c r="R281" t="s">
        <v>44</v>
      </c>
      <c r="S281" t="s">
        <v>45</v>
      </c>
      <c r="T281" t="s">
        <v>46</v>
      </c>
      <c r="U281" t="s">
        <v>39</v>
      </c>
      <c r="V281" t="s">
        <v>38</v>
      </c>
      <c r="W281" t="s">
        <v>626</v>
      </c>
      <c r="X281" t="s">
        <v>0</v>
      </c>
      <c r="Y281">
        <v>9007199254741269</v>
      </c>
      <c r="Z281">
        <v>0</v>
      </c>
      <c r="AA281" t="s">
        <v>38</v>
      </c>
      <c r="AB281" t="b">
        <v>0</v>
      </c>
      <c r="AD281" s="3">
        <v>0.125</v>
      </c>
      <c r="AE281" s="2">
        <v>45926.5</v>
      </c>
      <c r="AF281" t="s">
        <v>60</v>
      </c>
    </row>
    <row r="282">
      <c r="A282" t="s">
        <v>627</v>
      </c>
      <c r="B282" s="2">
        <v>45925.5</v>
      </c>
      <c r="C282" t="s">
        <v>49</v>
      </c>
      <c r="D282" t="s">
        <f>'客户档案'!B4</f>
        <v>50</v>
      </c>
      <c r="E282" t="s">
        <v>51</v>
      </c>
      <c r="F282" t="s">
        <v>52</v>
      </c>
      <c r="G282" t="s">
        <f>'商品目录'!B4</f>
        <v>53</v>
      </c>
      <c r="H282" t="s">
        <v>54</v>
      </c>
      <c r="I282">
        <v>6</v>
      </c>
      <c r="J282" s="4">
        <v>129</v>
      </c>
      <c r="K282" s="4">
        <f>I282*J282</f>
        <v>774</v>
      </c>
      <c r="L282" s="3">
        <v>0.5</v>
      </c>
      <c r="M282" s="4">
        <f>K282*L282</f>
        <v>387</v>
      </c>
      <c r="N282" s="4">
        <v>10</v>
      </c>
      <c r="O282" s="4">
        <f>K282-M282+N282</f>
        <v>397</v>
      </c>
      <c r="P282" t="s">
        <v>43</v>
      </c>
      <c r="Q282" t="b">
        <v>1</v>
      </c>
      <c r="R282" t="s">
        <v>55</v>
      </c>
      <c r="S282" t="s">
        <v>56</v>
      </c>
      <c r="T282" t="s">
        <v>57</v>
      </c>
      <c r="U282" t="s">
        <v>51</v>
      </c>
      <c r="V282" t="s">
        <v>50</v>
      </c>
      <c r="W282" t="s">
        <v>628</v>
      </c>
      <c r="X282" t="s">
        <v>59</v>
      </c>
      <c r="Y282">
        <v>9007199254741270</v>
      </c>
      <c r="Z282">
        <v>0</v>
      </c>
      <c r="AA282" t="s">
        <v>50</v>
      </c>
      <c r="AB282" t="b">
        <v>1</v>
      </c>
      <c r="AD282" s="3">
        <v>0.125</v>
      </c>
      <c r="AE282" s="2">
        <v>45927.5</v>
      </c>
      <c r="AF282" t="s">
        <v>60</v>
      </c>
    </row>
    <row r="283">
      <c r="A283" t="s">
        <v>629</v>
      </c>
      <c r="B283" s="2">
        <v>45926.5</v>
      </c>
      <c r="C283" t="s">
        <v>62</v>
      </c>
      <c r="D283" t="s">
        <f>'客户档案'!B5</f>
        <v>63</v>
      </c>
      <c r="E283" t="s">
        <v>64</v>
      </c>
      <c r="F283" t="s">
        <v>65</v>
      </c>
      <c r="G283" t="s">
        <f>'商品目录'!B5</f>
        <v>66</v>
      </c>
      <c r="H283" t="s">
        <v>67</v>
      </c>
      <c r="I283">
        <v>8</v>
      </c>
      <c r="J283" s="4">
        <v>45</v>
      </c>
      <c r="K283" s="4">
        <f>I283*J283</f>
        <v>360</v>
      </c>
      <c r="L283" s="3">
        <v>0</v>
      </c>
      <c r="M283" s="4">
        <f>K283*L283</f>
        <v>0</v>
      </c>
      <c r="N283" s="4">
        <v>20</v>
      </c>
      <c r="O283" s="4">
        <f>K283-M283+N283</f>
        <v>380</v>
      </c>
      <c r="P283" t="s">
        <v>43</v>
      </c>
      <c r="Q283" t="b">
        <v>1</v>
      </c>
      <c r="R283" t="s">
        <v>55</v>
      </c>
      <c r="S283" t="s">
        <v>68</v>
      </c>
      <c r="T283" t="s">
        <v>69</v>
      </c>
      <c r="U283" t="s">
        <v>70</v>
      </c>
      <c r="V283" t="s">
        <v>63</v>
      </c>
      <c r="W283" t="s">
        <v>630</v>
      </c>
      <c r="X283" t="s">
        <v>72</v>
      </c>
      <c r="Y283">
        <v>9007199254741271</v>
      </c>
      <c r="Z283">
        <v>0</v>
      </c>
      <c r="AA283" t="s">
        <v>63</v>
      </c>
      <c r="AB283" t="b">
        <v>0</v>
      </c>
      <c r="AD283" s="3">
        <v>0.125</v>
      </c>
      <c r="AE283" s="2">
        <v>45928.5</v>
      </c>
      <c r="AF283" t="s">
        <v>60</v>
      </c>
    </row>
    <row r="284">
      <c r="A284" t="s">
        <v>631</v>
      </c>
      <c r="B284" s="2">
        <v>45927.5</v>
      </c>
      <c r="C284" t="s">
        <v>37</v>
      </c>
      <c r="D284" t="s">
        <f>'客户档案'!B3</f>
        <v>38</v>
      </c>
      <c r="E284" t="s">
        <v>74</v>
      </c>
      <c r="F284" t="s">
        <v>75</v>
      </c>
      <c r="G284" t="s">
        <f>'商品目录'!B6</f>
        <v>76</v>
      </c>
      <c r="H284" t="s">
        <v>77</v>
      </c>
      <c r="I284">
        <v>10</v>
      </c>
      <c r="J284" s="4">
        <v>8</v>
      </c>
      <c r="K284" s="4">
        <f>I284*J284</f>
        <v>80</v>
      </c>
      <c r="L284" s="3">
        <v>0.5</v>
      </c>
      <c r="M284" s="4">
        <f>K284*L284</f>
        <v>40</v>
      </c>
      <c r="N284" s="4">
        <v>0</v>
      </c>
      <c r="O284" s="4">
        <f>K284-M284+N284</f>
        <v>40</v>
      </c>
      <c r="P284" t="s">
        <v>43</v>
      </c>
      <c r="Q284" t="b">
        <v>1</v>
      </c>
      <c r="R284" t="s">
        <v>55</v>
      </c>
      <c r="S284" t="s">
        <v>45</v>
      </c>
      <c r="T284" t="s">
        <v>46</v>
      </c>
      <c r="U284" t="s">
        <v>78</v>
      </c>
      <c r="V284" t="s">
        <v>38</v>
      </c>
      <c r="W284" t="s">
        <v>632</v>
      </c>
      <c r="X284" t="s">
        <v>80</v>
      </c>
      <c r="Y284">
        <v>9007199254741272</v>
      </c>
      <c r="Z284">
        <v>0</v>
      </c>
      <c r="AA284" t="s">
        <v>38</v>
      </c>
      <c r="AB284" t="b">
        <v>1</v>
      </c>
      <c r="AD284" s="3">
        <v>0.125</v>
      </c>
      <c r="AE284" s="2">
        <v>45929.5</v>
      </c>
      <c r="AF284" t="s">
        <v>60</v>
      </c>
    </row>
    <row r="285">
      <c r="A285" t="s">
        <v>633</v>
      </c>
      <c r="B285" s="2">
        <v>45900.5</v>
      </c>
      <c r="C285" t="s">
        <v>49</v>
      </c>
      <c r="D285" t="s">
        <f>'客户档案'!B4</f>
        <v>50</v>
      </c>
      <c r="E285" t="s">
        <v>39</v>
      </c>
      <c r="F285" t="s">
        <v>40</v>
      </c>
      <c r="G285" t="s">
        <f>'商品目录'!B3</f>
        <v>41</v>
      </c>
      <c r="H285" t="s">
        <v>42</v>
      </c>
      <c r="I285">
        <v>2</v>
      </c>
      <c r="J285" s="4">
        <v>99</v>
      </c>
      <c r="K285" s="4">
        <f>I285*J285</f>
        <v>198</v>
      </c>
      <c r="L285" s="3">
        <v>0</v>
      </c>
      <c r="M285" s="4">
        <f>K285*L285</f>
        <v>0</v>
      </c>
      <c r="N285" s="4">
        <v>10</v>
      </c>
      <c r="O285" s="4">
        <f>K285-M285+N285</f>
        <v>208</v>
      </c>
      <c r="P285" t="s">
        <v>43</v>
      </c>
      <c r="Q285" t="b">
        <v>0</v>
      </c>
      <c r="R285" t="s">
        <v>44</v>
      </c>
      <c r="S285" t="s">
        <v>56</v>
      </c>
      <c r="T285" t="s">
        <v>57</v>
      </c>
      <c r="U285" t="s">
        <v>39</v>
      </c>
      <c r="V285" t="s">
        <v>50</v>
      </c>
      <c r="W285" t="s">
        <v>634</v>
      </c>
      <c r="X285" t="s">
        <v>0</v>
      </c>
      <c r="Y285">
        <v>9007199254741273</v>
      </c>
      <c r="Z285">
        <v>0</v>
      </c>
      <c r="AA285" t="s">
        <v>50</v>
      </c>
      <c r="AB285" t="b">
        <v>0</v>
      </c>
      <c r="AD285" s="3">
        <v>0.125</v>
      </c>
      <c r="AE285" s="2">
        <v>45902.5</v>
      </c>
      <c r="AF285" t="s">
        <v>60</v>
      </c>
    </row>
    <row r="286">
      <c r="A286" t="s">
        <v>635</v>
      </c>
      <c r="B286" s="2">
        <v>45901.5</v>
      </c>
      <c r="C286" t="s">
        <v>62</v>
      </c>
      <c r="D286" t="s">
        <f>'客户档案'!B5</f>
        <v>63</v>
      </c>
      <c r="E286" t="s">
        <v>51</v>
      </c>
      <c r="F286" t="s">
        <v>52</v>
      </c>
      <c r="G286" t="s">
        <f>'商品目录'!B4</f>
        <v>53</v>
      </c>
      <c r="H286" t="s">
        <v>54</v>
      </c>
      <c r="I286">
        <v>4</v>
      </c>
      <c r="J286" s="4">
        <v>129</v>
      </c>
      <c r="K286" s="4">
        <f>I286*J286</f>
        <v>516</v>
      </c>
      <c r="L286" s="3">
        <v>0.5</v>
      </c>
      <c r="M286" s="4">
        <f>K286*L286</f>
        <v>258</v>
      </c>
      <c r="N286" s="4">
        <v>20</v>
      </c>
      <c r="O286" s="4">
        <f>K286-M286+N286</f>
        <v>278</v>
      </c>
      <c r="P286" t="s">
        <v>43</v>
      </c>
      <c r="Q286" t="b">
        <v>1</v>
      </c>
      <c r="R286" t="s">
        <v>55</v>
      </c>
      <c r="S286" t="s">
        <v>68</v>
      </c>
      <c r="T286" t="s">
        <v>69</v>
      </c>
      <c r="U286" t="s">
        <v>51</v>
      </c>
      <c r="V286" t="s">
        <v>63</v>
      </c>
      <c r="W286" t="s">
        <v>636</v>
      </c>
      <c r="X286" t="s">
        <v>59</v>
      </c>
      <c r="Y286">
        <v>9007199254741274</v>
      </c>
      <c r="Z286">
        <v>0</v>
      </c>
      <c r="AA286" t="s">
        <v>63</v>
      </c>
      <c r="AB286" t="b">
        <v>1</v>
      </c>
      <c r="AD286" s="3">
        <v>0.125</v>
      </c>
      <c r="AE286" s="2">
        <v>45903.5</v>
      </c>
      <c r="AF286" t="s">
        <v>60</v>
      </c>
    </row>
    <row r="287">
      <c r="A287" t="s">
        <v>637</v>
      </c>
      <c r="B287" s="2">
        <v>45902.5</v>
      </c>
      <c r="C287" t="s">
        <v>37</v>
      </c>
      <c r="D287" t="s">
        <f>'客户档案'!B3</f>
        <v>38</v>
      </c>
      <c r="E287" t="s">
        <v>64</v>
      </c>
      <c r="F287" t="s">
        <v>65</v>
      </c>
      <c r="G287" t="s">
        <f>'商品目录'!B5</f>
        <v>66</v>
      </c>
      <c r="H287" t="s">
        <v>67</v>
      </c>
      <c r="I287">
        <v>6</v>
      </c>
      <c r="J287" s="4">
        <v>45</v>
      </c>
      <c r="K287" s="4">
        <f>I287*J287</f>
        <v>270</v>
      </c>
      <c r="L287" s="3">
        <v>0</v>
      </c>
      <c r="M287" s="4">
        <f>K287*L287</f>
        <v>0</v>
      </c>
      <c r="N287" s="4">
        <v>0</v>
      </c>
      <c r="O287" s="4">
        <f>K287-M287+N287</f>
        <v>270</v>
      </c>
      <c r="P287" t="s">
        <v>43</v>
      </c>
      <c r="Q287" t="b">
        <v>1</v>
      </c>
      <c r="R287" t="s">
        <v>55</v>
      </c>
      <c r="S287" t="s">
        <v>45</v>
      </c>
      <c r="T287" t="s">
        <v>46</v>
      </c>
      <c r="U287" t="s">
        <v>70</v>
      </c>
      <c r="V287" t="s">
        <v>38</v>
      </c>
      <c r="W287" t="s">
        <v>638</v>
      </c>
      <c r="X287" t="s">
        <v>72</v>
      </c>
      <c r="Y287">
        <v>9007199254741275</v>
      </c>
      <c r="Z287">
        <v>0</v>
      </c>
      <c r="AA287" t="s">
        <v>38</v>
      </c>
      <c r="AB287" t="b">
        <v>0</v>
      </c>
      <c r="AD287" s="3">
        <v>0.125</v>
      </c>
      <c r="AE287" s="2">
        <v>45904.5</v>
      </c>
      <c r="AF287" t="s">
        <v>60</v>
      </c>
    </row>
    <row r="288">
      <c r="A288" t="s">
        <v>639</v>
      </c>
      <c r="B288" s="2">
        <v>45903.5</v>
      </c>
      <c r="C288" t="s">
        <v>49</v>
      </c>
      <c r="D288" t="s">
        <f>'客户档案'!B4</f>
        <v>50</v>
      </c>
      <c r="E288" t="s">
        <v>74</v>
      </c>
      <c r="F288" t="s">
        <v>75</v>
      </c>
      <c r="G288" t="s">
        <f>'商品目录'!B6</f>
        <v>76</v>
      </c>
      <c r="H288" t="s">
        <v>77</v>
      </c>
      <c r="I288">
        <v>8</v>
      </c>
      <c r="J288" s="4">
        <v>8</v>
      </c>
      <c r="K288" s="4">
        <f>I288*J288</f>
        <v>64</v>
      </c>
      <c r="L288" s="3">
        <v>0.5</v>
      </c>
      <c r="M288" s="4">
        <f>K288*L288</f>
        <v>32</v>
      </c>
      <c r="N288" s="4">
        <v>10</v>
      </c>
      <c r="O288" s="4">
        <f>K288-M288+N288</f>
        <v>42</v>
      </c>
      <c r="P288" t="s">
        <v>43</v>
      </c>
      <c r="Q288" t="b">
        <v>1</v>
      </c>
      <c r="R288" t="s">
        <v>55</v>
      </c>
      <c r="S288" t="s">
        <v>56</v>
      </c>
      <c r="T288" t="s">
        <v>57</v>
      </c>
      <c r="U288" t="s">
        <v>78</v>
      </c>
      <c r="V288" t="s">
        <v>50</v>
      </c>
      <c r="W288" t="s">
        <v>640</v>
      </c>
      <c r="X288" t="s">
        <v>80</v>
      </c>
      <c r="Y288">
        <v>9007199254741276</v>
      </c>
      <c r="Z288">
        <v>0</v>
      </c>
      <c r="AA288" t="s">
        <v>50</v>
      </c>
      <c r="AB288" t="b">
        <v>1</v>
      </c>
      <c r="AD288" s="3">
        <v>0.125</v>
      </c>
      <c r="AE288" s="2">
        <v>45905.5</v>
      </c>
      <c r="AF288" t="s">
        <v>60</v>
      </c>
    </row>
    <row r="289">
      <c r="A289" t="s">
        <v>641</v>
      </c>
      <c r="B289" s="2">
        <v>45904.5</v>
      </c>
      <c r="C289" t="s">
        <v>62</v>
      </c>
      <c r="D289" t="s">
        <f>'客户档案'!B5</f>
        <v>63</v>
      </c>
      <c r="E289" t="s">
        <v>39</v>
      </c>
      <c r="F289" t="s">
        <v>40</v>
      </c>
      <c r="G289" t="s">
        <f>'商品目录'!B3</f>
        <v>41</v>
      </c>
      <c r="H289" t="s">
        <v>42</v>
      </c>
      <c r="I289">
        <v>10</v>
      </c>
      <c r="J289" s="4">
        <v>99</v>
      </c>
      <c r="K289" s="4">
        <f>I289*J289</f>
        <v>990</v>
      </c>
      <c r="L289" s="3">
        <v>0</v>
      </c>
      <c r="M289" s="4">
        <f>K289*L289</f>
        <v>0</v>
      </c>
      <c r="N289" s="4">
        <v>20</v>
      </c>
      <c r="O289" s="4">
        <f>K289-M289+N289</f>
        <v>1010</v>
      </c>
      <c r="P289" t="s">
        <v>43</v>
      </c>
      <c r="Q289" t="b">
        <v>0</v>
      </c>
      <c r="R289" t="s">
        <v>44</v>
      </c>
      <c r="S289" t="s">
        <v>68</v>
      </c>
      <c r="T289" t="s">
        <v>69</v>
      </c>
      <c r="U289" t="s">
        <v>39</v>
      </c>
      <c r="V289" t="s">
        <v>63</v>
      </c>
      <c r="W289" t="s">
        <v>642</v>
      </c>
      <c r="X289" t="s">
        <v>0</v>
      </c>
      <c r="Y289">
        <v>9007199254741277</v>
      </c>
      <c r="Z289">
        <v>0</v>
      </c>
      <c r="AA289" t="s">
        <v>63</v>
      </c>
      <c r="AB289" t="b">
        <v>0</v>
      </c>
      <c r="AD289" s="3">
        <v>0.125</v>
      </c>
      <c r="AE289" s="2">
        <v>45906.5</v>
      </c>
      <c r="AF289" t="s">
        <v>60</v>
      </c>
    </row>
    <row r="290">
      <c r="A290" t="s">
        <v>643</v>
      </c>
      <c r="B290" s="2">
        <v>45905.5</v>
      </c>
      <c r="C290" t="s">
        <v>37</v>
      </c>
      <c r="D290" t="s">
        <f>'客户档案'!B3</f>
        <v>38</v>
      </c>
      <c r="E290" t="s">
        <v>51</v>
      </c>
      <c r="F290" t="s">
        <v>52</v>
      </c>
      <c r="G290" t="s">
        <f>'商品目录'!B4</f>
        <v>53</v>
      </c>
      <c r="H290" t="s">
        <v>54</v>
      </c>
      <c r="I290">
        <v>2</v>
      </c>
      <c r="J290" s="4">
        <v>129</v>
      </c>
      <c r="K290" s="4">
        <f>I290*J290</f>
        <v>258</v>
      </c>
      <c r="L290" s="3">
        <v>0.5</v>
      </c>
      <c r="M290" s="4">
        <f>K290*L290</f>
        <v>129</v>
      </c>
      <c r="N290" s="4">
        <v>0</v>
      </c>
      <c r="O290" s="4">
        <f>K290-M290+N290</f>
        <v>129</v>
      </c>
      <c r="P290" t="s">
        <v>43</v>
      </c>
      <c r="Q290" t="b">
        <v>1</v>
      </c>
      <c r="R290" t="s">
        <v>55</v>
      </c>
      <c r="S290" t="s">
        <v>45</v>
      </c>
      <c r="T290" t="s">
        <v>46</v>
      </c>
      <c r="U290" t="s">
        <v>51</v>
      </c>
      <c r="V290" t="s">
        <v>38</v>
      </c>
      <c r="W290" t="s">
        <v>644</v>
      </c>
      <c r="X290" t="s">
        <v>59</v>
      </c>
      <c r="Y290">
        <v>9007199254741278</v>
      </c>
      <c r="Z290">
        <v>0</v>
      </c>
      <c r="AA290" t="s">
        <v>38</v>
      </c>
      <c r="AB290" t="b">
        <v>1</v>
      </c>
      <c r="AD290" s="3">
        <v>0.125</v>
      </c>
      <c r="AE290" s="2">
        <v>45907.5</v>
      </c>
      <c r="AF290" t="s">
        <v>60</v>
      </c>
    </row>
    <row r="291">
      <c r="A291" t="s">
        <v>645</v>
      </c>
      <c r="B291" s="2">
        <v>45906.5</v>
      </c>
      <c r="C291" t="s">
        <v>49</v>
      </c>
      <c r="D291" t="s">
        <f>'客户档案'!B4</f>
        <v>50</v>
      </c>
      <c r="E291" t="s">
        <v>64</v>
      </c>
      <c r="F291" t="s">
        <v>65</v>
      </c>
      <c r="G291" t="s">
        <f>'商品目录'!B5</f>
        <v>66</v>
      </c>
      <c r="H291" t="s">
        <v>67</v>
      </c>
      <c r="I291">
        <v>4</v>
      </c>
      <c r="J291" s="4">
        <v>45</v>
      </c>
      <c r="K291" s="4">
        <f>I291*J291</f>
        <v>180</v>
      </c>
      <c r="L291" s="3">
        <v>0</v>
      </c>
      <c r="M291" s="4">
        <f>K291*L291</f>
        <v>0</v>
      </c>
      <c r="N291" s="4">
        <v>10</v>
      </c>
      <c r="O291" s="4">
        <f>K291-M291+N291</f>
        <v>190</v>
      </c>
      <c r="P291" t="s">
        <v>43</v>
      </c>
      <c r="Q291" t="b">
        <v>1</v>
      </c>
      <c r="R291" t="s">
        <v>55</v>
      </c>
      <c r="S291" t="s">
        <v>56</v>
      </c>
      <c r="T291" t="s">
        <v>57</v>
      </c>
      <c r="U291" t="s">
        <v>70</v>
      </c>
      <c r="V291" t="s">
        <v>50</v>
      </c>
      <c r="W291" t="s">
        <v>646</v>
      </c>
      <c r="X291" t="s">
        <v>72</v>
      </c>
      <c r="Y291">
        <v>9007199254741279</v>
      </c>
      <c r="Z291">
        <v>0</v>
      </c>
      <c r="AA291" t="s">
        <v>50</v>
      </c>
      <c r="AB291" t="b">
        <v>0</v>
      </c>
      <c r="AD291" s="3">
        <v>0.125</v>
      </c>
      <c r="AE291" s="2">
        <v>45908.5</v>
      </c>
      <c r="AF291" t="s">
        <v>60</v>
      </c>
    </row>
    <row r="292">
      <c r="A292" t="s">
        <v>647</v>
      </c>
      <c r="B292" s="2">
        <v>45907.5</v>
      </c>
      <c r="C292" t="s">
        <v>62</v>
      </c>
      <c r="D292" t="s">
        <f>'客户档案'!B5</f>
        <v>63</v>
      </c>
      <c r="E292" t="s">
        <v>74</v>
      </c>
      <c r="F292" t="s">
        <v>75</v>
      </c>
      <c r="G292" t="s">
        <f>'商品目录'!B6</f>
        <v>76</v>
      </c>
      <c r="H292" t="s">
        <v>77</v>
      </c>
      <c r="I292">
        <v>6</v>
      </c>
      <c r="J292" s="4">
        <v>8</v>
      </c>
      <c r="K292" s="4">
        <f>I292*J292</f>
        <v>48</v>
      </c>
      <c r="L292" s="3">
        <v>0.5</v>
      </c>
      <c r="M292" s="4">
        <f>K292*L292</f>
        <v>24</v>
      </c>
      <c r="N292" s="4">
        <v>20</v>
      </c>
      <c r="O292" s="4">
        <f>K292-M292+N292</f>
        <v>44</v>
      </c>
      <c r="P292" t="s">
        <v>43</v>
      </c>
      <c r="Q292" t="b">
        <v>1</v>
      </c>
      <c r="R292" t="s">
        <v>55</v>
      </c>
      <c r="S292" t="s">
        <v>68</v>
      </c>
      <c r="T292" t="s">
        <v>69</v>
      </c>
      <c r="U292" t="s">
        <v>78</v>
      </c>
      <c r="V292" t="s">
        <v>63</v>
      </c>
      <c r="W292" t="s">
        <v>648</v>
      </c>
      <c r="X292" t="s">
        <v>80</v>
      </c>
      <c r="Y292">
        <v>9007199254741280</v>
      </c>
      <c r="Z292">
        <v>0</v>
      </c>
      <c r="AA292" t="s">
        <v>63</v>
      </c>
      <c r="AB292" t="b">
        <v>1</v>
      </c>
      <c r="AD292" s="3">
        <v>0.125</v>
      </c>
      <c r="AE292" s="2">
        <v>45909.5</v>
      </c>
      <c r="AF292" t="s">
        <v>60</v>
      </c>
    </row>
    <row r="293">
      <c r="A293" t="s">
        <v>649</v>
      </c>
      <c r="B293" s="2">
        <v>45908.5</v>
      </c>
      <c r="C293" t="s">
        <v>37</v>
      </c>
      <c r="D293" t="s">
        <f>'客户档案'!B3</f>
        <v>38</v>
      </c>
      <c r="E293" t="s">
        <v>39</v>
      </c>
      <c r="F293" t="s">
        <v>40</v>
      </c>
      <c r="G293" t="s">
        <f>'商品目录'!B3</f>
        <v>41</v>
      </c>
      <c r="H293" t="s">
        <v>42</v>
      </c>
      <c r="I293">
        <v>8</v>
      </c>
      <c r="J293" s="4">
        <v>99</v>
      </c>
      <c r="K293" s="4">
        <f>I293*J293</f>
        <v>792</v>
      </c>
      <c r="L293" s="3">
        <v>0</v>
      </c>
      <c r="M293" s="4">
        <f>K293*L293</f>
        <v>0</v>
      </c>
      <c r="N293" s="4">
        <v>0</v>
      </c>
      <c r="O293" s="4">
        <f>K293-M293+N293</f>
        <v>792</v>
      </c>
      <c r="P293" t="s">
        <v>43</v>
      </c>
      <c r="Q293" t="b">
        <v>0</v>
      </c>
      <c r="R293" t="s">
        <v>44</v>
      </c>
      <c r="S293" t="s">
        <v>45</v>
      </c>
      <c r="T293" t="s">
        <v>46</v>
      </c>
      <c r="U293" t="s">
        <v>39</v>
      </c>
      <c r="V293" t="s">
        <v>38</v>
      </c>
      <c r="W293" t="s">
        <v>650</v>
      </c>
      <c r="X293" t="s">
        <v>0</v>
      </c>
      <c r="Y293">
        <v>9007199254741281</v>
      </c>
      <c r="Z293">
        <v>0</v>
      </c>
      <c r="AA293" t="s">
        <v>38</v>
      </c>
      <c r="AB293" t="b">
        <v>0</v>
      </c>
      <c r="AD293" s="3">
        <v>0.125</v>
      </c>
      <c r="AE293" s="2">
        <v>45910.5</v>
      </c>
      <c r="AF293" t="s">
        <v>60</v>
      </c>
    </row>
    <row r="294">
      <c r="A294" t="s">
        <v>651</v>
      </c>
      <c r="B294" s="2">
        <v>45909.5</v>
      </c>
      <c r="C294" t="s">
        <v>49</v>
      </c>
      <c r="D294" t="s">
        <f>'客户档案'!B4</f>
        <v>50</v>
      </c>
      <c r="E294" t="s">
        <v>51</v>
      </c>
      <c r="F294" t="s">
        <v>52</v>
      </c>
      <c r="G294" t="s">
        <f>'商品目录'!B4</f>
        <v>53</v>
      </c>
      <c r="H294" t="s">
        <v>54</v>
      </c>
      <c r="I294">
        <v>10</v>
      </c>
      <c r="J294" s="4">
        <v>129</v>
      </c>
      <c r="K294" s="4">
        <f>I294*J294</f>
        <v>1290</v>
      </c>
      <c r="L294" s="3">
        <v>0.5</v>
      </c>
      <c r="M294" s="4">
        <f>K294*L294</f>
        <v>645</v>
      </c>
      <c r="N294" s="4">
        <v>10</v>
      </c>
      <c r="O294" s="4">
        <f>K294-M294+N294</f>
        <v>655</v>
      </c>
      <c r="P294" t="s">
        <v>43</v>
      </c>
      <c r="Q294" t="b">
        <v>1</v>
      </c>
      <c r="R294" t="s">
        <v>55</v>
      </c>
      <c r="S294" t="s">
        <v>56</v>
      </c>
      <c r="T294" t="s">
        <v>57</v>
      </c>
      <c r="U294" t="s">
        <v>51</v>
      </c>
      <c r="V294" t="s">
        <v>50</v>
      </c>
      <c r="W294" t="s">
        <v>652</v>
      </c>
      <c r="X294" t="s">
        <v>59</v>
      </c>
      <c r="Y294">
        <v>9007199254741282</v>
      </c>
      <c r="Z294">
        <v>2</v>
      </c>
      <c r="AA294" t="s">
        <v>50</v>
      </c>
      <c r="AB294" t="b">
        <v>1</v>
      </c>
      <c r="AD294" s="3">
        <v>0.125</v>
      </c>
      <c r="AE294" s="2">
        <v>45911.5</v>
      </c>
      <c r="AF294" t="s">
        <v>60</v>
      </c>
    </row>
    <row r="295">
      <c r="A295" t="s">
        <v>653</v>
      </c>
      <c r="B295" s="2">
        <v>45910.5</v>
      </c>
      <c r="C295" t="s">
        <v>62</v>
      </c>
      <c r="D295" t="s">
        <f>'客户档案'!B5</f>
        <v>63</v>
      </c>
      <c r="E295" t="s">
        <v>64</v>
      </c>
      <c r="F295" t="s">
        <v>65</v>
      </c>
      <c r="G295" t="s">
        <f>'商品目录'!B5</f>
        <v>66</v>
      </c>
      <c r="H295" t="s">
        <v>67</v>
      </c>
      <c r="I295">
        <v>2</v>
      </c>
      <c r="J295" s="4">
        <v>45</v>
      </c>
      <c r="K295" s="4">
        <f>I295*J295</f>
        <v>90</v>
      </c>
      <c r="L295" s="3">
        <v>0</v>
      </c>
      <c r="M295" s="4">
        <f>K295*L295</f>
        <v>0</v>
      </c>
      <c r="N295" s="4">
        <v>20</v>
      </c>
      <c r="O295" s="4">
        <f>K295-M295+N295</f>
        <v>110</v>
      </c>
      <c r="P295" t="s">
        <v>43</v>
      </c>
      <c r="Q295" t="b">
        <v>1</v>
      </c>
      <c r="R295" t="s">
        <v>55</v>
      </c>
      <c r="S295" t="s">
        <v>68</v>
      </c>
      <c r="T295" t="s">
        <v>69</v>
      </c>
      <c r="U295" t="s">
        <v>70</v>
      </c>
      <c r="V295" t="s">
        <v>63</v>
      </c>
      <c r="W295" t="s">
        <v>654</v>
      </c>
      <c r="X295" t="s">
        <v>72</v>
      </c>
      <c r="Y295">
        <v>9007199254741283</v>
      </c>
      <c r="Z295">
        <v>0</v>
      </c>
      <c r="AA295" t="s">
        <v>63</v>
      </c>
      <c r="AB295" t="b">
        <v>0</v>
      </c>
      <c r="AD295" s="3">
        <v>0.125</v>
      </c>
      <c r="AE295" s="2">
        <v>45912.5</v>
      </c>
      <c r="AF295" t="s">
        <v>60</v>
      </c>
    </row>
    <row r="296">
      <c r="A296" t="s">
        <v>655</v>
      </c>
      <c r="B296" s="2">
        <v>45911.5</v>
      </c>
      <c r="C296" t="s">
        <v>37</v>
      </c>
      <c r="D296" t="s">
        <f>'客户档案'!B3</f>
        <v>38</v>
      </c>
      <c r="E296" t="s">
        <v>74</v>
      </c>
      <c r="F296" t="s">
        <v>75</v>
      </c>
      <c r="G296" t="s">
        <f>'商品目录'!B6</f>
        <v>76</v>
      </c>
      <c r="H296" t="s">
        <v>77</v>
      </c>
      <c r="I296">
        <v>4</v>
      </c>
      <c r="J296" s="4">
        <v>8</v>
      </c>
      <c r="K296" s="4">
        <f>I296*J296</f>
        <v>32</v>
      </c>
      <c r="L296" s="3">
        <v>0.5</v>
      </c>
      <c r="M296" s="4">
        <f>K296*L296</f>
        <v>16</v>
      </c>
      <c r="N296" s="4">
        <v>0</v>
      </c>
      <c r="O296" s="4">
        <f>K296-M296+N296</f>
        <v>16</v>
      </c>
      <c r="P296" t="s">
        <v>43</v>
      </c>
      <c r="Q296" t="b">
        <v>1</v>
      </c>
      <c r="R296" t="s">
        <v>55</v>
      </c>
      <c r="S296" t="s">
        <v>45</v>
      </c>
      <c r="T296" t="s">
        <v>46</v>
      </c>
      <c r="U296" t="s">
        <v>78</v>
      </c>
      <c r="V296" t="s">
        <v>38</v>
      </c>
      <c r="W296" t="s">
        <v>656</v>
      </c>
      <c r="X296" t="s">
        <v>80</v>
      </c>
      <c r="Y296">
        <v>9007199254741284</v>
      </c>
      <c r="Z296">
        <v>0</v>
      </c>
      <c r="AA296" t="s">
        <v>38</v>
      </c>
      <c r="AB296" t="b">
        <v>1</v>
      </c>
      <c r="AD296" s="3">
        <v>0.125</v>
      </c>
      <c r="AE296" s="2">
        <v>45913.5</v>
      </c>
      <c r="AF296" t="s">
        <v>60</v>
      </c>
    </row>
    <row r="297">
      <c r="A297" t="s">
        <v>657</v>
      </c>
      <c r="B297" s="2">
        <v>45912.5</v>
      </c>
      <c r="C297" t="s">
        <v>49</v>
      </c>
      <c r="D297" t="s">
        <f>'客户档案'!B4</f>
        <v>50</v>
      </c>
      <c r="E297" t="s">
        <v>39</v>
      </c>
      <c r="F297" t="s">
        <v>40</v>
      </c>
      <c r="G297" t="s">
        <f>'商品目录'!B3</f>
        <v>41</v>
      </c>
      <c r="H297" t="s">
        <v>42</v>
      </c>
      <c r="I297">
        <v>6</v>
      </c>
      <c r="J297" s="4">
        <v>99</v>
      </c>
      <c r="K297" s="4">
        <f>I297*J297</f>
        <v>594</v>
      </c>
      <c r="L297" s="3">
        <v>0</v>
      </c>
      <c r="M297" s="4">
        <f>K297*L297</f>
        <v>0</v>
      </c>
      <c r="N297" s="4">
        <v>10</v>
      </c>
      <c r="O297" s="4">
        <f>K297-M297+N297</f>
        <v>604</v>
      </c>
      <c r="P297" t="s">
        <v>43</v>
      </c>
      <c r="Q297" t="b">
        <v>0</v>
      </c>
      <c r="R297" t="s">
        <v>44</v>
      </c>
      <c r="S297" t="s">
        <v>56</v>
      </c>
      <c r="T297" t="s">
        <v>57</v>
      </c>
      <c r="U297" t="s">
        <v>39</v>
      </c>
      <c r="V297" t="s">
        <v>50</v>
      </c>
      <c r="W297" t="s">
        <v>658</v>
      </c>
      <c r="X297" t="s">
        <v>0</v>
      </c>
      <c r="Y297">
        <v>9007199254741285</v>
      </c>
      <c r="Z297">
        <v>0</v>
      </c>
      <c r="AA297" t="s">
        <v>50</v>
      </c>
      <c r="AB297" t="b">
        <v>0</v>
      </c>
      <c r="AD297" s="3">
        <v>0.125</v>
      </c>
      <c r="AE297" s="2">
        <v>45914.5</v>
      </c>
      <c r="AF297" t="s">
        <v>60</v>
      </c>
    </row>
    <row r="298">
      <c r="A298" t="s">
        <v>659</v>
      </c>
      <c r="B298" s="2">
        <v>45913.5</v>
      </c>
      <c r="C298" t="s">
        <v>62</v>
      </c>
      <c r="D298" t="s">
        <f>'客户档案'!B5</f>
        <v>63</v>
      </c>
      <c r="E298" t="s">
        <v>51</v>
      </c>
      <c r="F298" t="s">
        <v>52</v>
      </c>
      <c r="G298" t="s">
        <f>'商品目录'!B4</f>
        <v>53</v>
      </c>
      <c r="H298" t="s">
        <v>54</v>
      </c>
      <c r="I298">
        <v>8</v>
      </c>
      <c r="J298" s="4">
        <v>129</v>
      </c>
      <c r="K298" s="4">
        <f>I298*J298</f>
        <v>1032</v>
      </c>
      <c r="L298" s="3">
        <v>0.5</v>
      </c>
      <c r="M298" s="4">
        <f>K298*L298</f>
        <v>516</v>
      </c>
      <c r="N298" s="4">
        <v>20</v>
      </c>
      <c r="O298" s="4">
        <f>K298-M298+N298</f>
        <v>536</v>
      </c>
      <c r="P298" t="s">
        <v>43</v>
      </c>
      <c r="Q298" t="b">
        <v>1</v>
      </c>
      <c r="R298" t="s">
        <v>55</v>
      </c>
      <c r="S298" t="s">
        <v>68</v>
      </c>
      <c r="T298" t="s">
        <v>69</v>
      </c>
      <c r="U298" t="s">
        <v>51</v>
      </c>
      <c r="V298" t="s">
        <v>63</v>
      </c>
      <c r="W298" t="s">
        <v>660</v>
      </c>
      <c r="X298" t="s">
        <v>59</v>
      </c>
      <c r="Y298">
        <v>9007199254741286</v>
      </c>
      <c r="Z298">
        <v>0</v>
      </c>
      <c r="AA298" t="s">
        <v>63</v>
      </c>
      <c r="AB298" t="b">
        <v>1</v>
      </c>
      <c r="AD298" s="3">
        <v>0.125</v>
      </c>
      <c r="AE298" s="2">
        <v>45915.5</v>
      </c>
      <c r="AF298" t="s">
        <v>60</v>
      </c>
    </row>
    <row r="299">
      <c r="A299" t="s">
        <v>661</v>
      </c>
      <c r="B299" s="2">
        <v>45914.5</v>
      </c>
      <c r="C299" t="s">
        <v>37</v>
      </c>
      <c r="D299" t="s">
        <f>'客户档案'!B3</f>
        <v>38</v>
      </c>
      <c r="E299" t="s">
        <v>64</v>
      </c>
      <c r="F299" t="s">
        <v>65</v>
      </c>
      <c r="G299" t="s">
        <f>'商品目录'!B5</f>
        <v>66</v>
      </c>
      <c r="H299" t="s">
        <v>67</v>
      </c>
      <c r="I299">
        <v>10</v>
      </c>
      <c r="J299" s="4">
        <v>45</v>
      </c>
      <c r="K299" s="4">
        <f>I299*J299</f>
        <v>450</v>
      </c>
      <c r="L299" s="3">
        <v>0</v>
      </c>
      <c r="M299" s="4">
        <f>K299*L299</f>
        <v>0</v>
      </c>
      <c r="N299" s="4">
        <v>0</v>
      </c>
      <c r="O299" s="4">
        <f>K299-M299+N299</f>
        <v>450</v>
      </c>
      <c r="P299" t="s">
        <v>43</v>
      </c>
      <c r="Q299" t="b">
        <v>1</v>
      </c>
      <c r="R299" t="s">
        <v>55</v>
      </c>
      <c r="S299" t="s">
        <v>45</v>
      </c>
      <c r="T299" t="s">
        <v>46</v>
      </c>
      <c r="U299" t="s">
        <v>70</v>
      </c>
      <c r="V299" t="s">
        <v>38</v>
      </c>
      <c r="W299" t="s">
        <v>662</v>
      </c>
      <c r="X299" t="s">
        <v>72</v>
      </c>
      <c r="Y299">
        <v>9007199254741287</v>
      </c>
      <c r="Z299">
        <v>0</v>
      </c>
      <c r="AA299" t="s">
        <v>38</v>
      </c>
      <c r="AB299" t="b">
        <v>0</v>
      </c>
      <c r="AD299" s="3">
        <v>0.125</v>
      </c>
      <c r="AE299" s="2">
        <v>45916.5</v>
      </c>
      <c r="AF299" t="s">
        <v>60</v>
      </c>
    </row>
    <row r="300">
      <c r="A300" t="s">
        <v>663</v>
      </c>
      <c r="B300" s="2">
        <v>45915.5</v>
      </c>
      <c r="C300" t="s">
        <v>49</v>
      </c>
      <c r="D300" t="s">
        <f>'客户档案'!B4</f>
        <v>50</v>
      </c>
      <c r="E300" t="s">
        <v>74</v>
      </c>
      <c r="F300" t="s">
        <v>75</v>
      </c>
      <c r="G300" t="s">
        <f>'商品目录'!B6</f>
        <v>76</v>
      </c>
      <c r="H300" t="s">
        <v>77</v>
      </c>
      <c r="I300">
        <v>2</v>
      </c>
      <c r="J300" s="4">
        <v>8</v>
      </c>
      <c r="K300" s="4">
        <f>I300*J300</f>
        <v>16</v>
      </c>
      <c r="L300" s="3">
        <v>0.5</v>
      </c>
      <c r="M300" s="4">
        <f>K300*L300</f>
        <v>8</v>
      </c>
      <c r="N300" s="4">
        <v>10</v>
      </c>
      <c r="O300" s="4">
        <f>K300-M300+N300</f>
        <v>18</v>
      </c>
      <c r="P300" t="s">
        <v>43</v>
      </c>
      <c r="Q300" t="b">
        <v>1</v>
      </c>
      <c r="R300" t="s">
        <v>55</v>
      </c>
      <c r="S300" t="s">
        <v>56</v>
      </c>
      <c r="T300" t="s">
        <v>57</v>
      </c>
      <c r="U300" t="s">
        <v>78</v>
      </c>
      <c r="V300" t="s">
        <v>50</v>
      </c>
      <c r="W300" t="s">
        <v>664</v>
      </c>
      <c r="X300" t="s">
        <v>80</v>
      </c>
      <c r="Y300">
        <v>9007199254741288</v>
      </c>
      <c r="Z300">
        <v>0</v>
      </c>
      <c r="AA300" t="s">
        <v>50</v>
      </c>
      <c r="AB300" t="b">
        <v>1</v>
      </c>
      <c r="AD300" s="3">
        <v>0.125</v>
      </c>
      <c r="AE300" s="2">
        <v>45917.5</v>
      </c>
      <c r="AF300" t="s">
        <v>60</v>
      </c>
    </row>
    <row r="301">
      <c r="A301" t="s">
        <v>665</v>
      </c>
      <c r="B301" s="2">
        <v>45916.5</v>
      </c>
      <c r="C301" t="s">
        <v>62</v>
      </c>
      <c r="D301" t="s">
        <f>'客户档案'!B5</f>
        <v>63</v>
      </c>
      <c r="E301" t="s">
        <v>39</v>
      </c>
      <c r="F301" t="s">
        <v>40</v>
      </c>
      <c r="G301" t="s">
        <f>'商品目录'!B3</f>
        <v>41</v>
      </c>
      <c r="H301" t="s">
        <v>42</v>
      </c>
      <c r="I301">
        <v>4</v>
      </c>
      <c r="J301" s="4">
        <v>99</v>
      </c>
      <c r="K301" s="4">
        <f>I301*J301</f>
        <v>396</v>
      </c>
      <c r="L301" s="3">
        <v>0</v>
      </c>
      <c r="M301" s="4">
        <f>K301*L301</f>
        <v>0</v>
      </c>
      <c r="N301" s="4">
        <v>20</v>
      </c>
      <c r="O301" s="4">
        <f>K301-M301+N301</f>
        <v>416</v>
      </c>
      <c r="P301" t="s">
        <v>43</v>
      </c>
      <c r="Q301" t="b">
        <v>0</v>
      </c>
      <c r="R301" t="s">
        <v>44</v>
      </c>
      <c r="S301" t="s">
        <v>68</v>
      </c>
      <c r="T301" t="s">
        <v>69</v>
      </c>
      <c r="U301" t="s">
        <v>39</v>
      </c>
      <c r="V301" t="s">
        <v>63</v>
      </c>
      <c r="W301" t="s">
        <v>666</v>
      </c>
      <c r="X301" t="s">
        <v>0</v>
      </c>
      <c r="Y301">
        <v>9007199254741289</v>
      </c>
      <c r="Z301">
        <v>0</v>
      </c>
      <c r="AA301" t="s">
        <v>63</v>
      </c>
      <c r="AB301" t="b">
        <v>0</v>
      </c>
      <c r="AD301" s="3">
        <v>0.125</v>
      </c>
      <c r="AE301" s="2">
        <v>45918.5</v>
      </c>
      <c r="AF301" t="s">
        <v>60</v>
      </c>
    </row>
    <row r="302">
      <c r="A302" t="s">
        <v>667</v>
      </c>
      <c r="B302" s="2">
        <v>45917.5</v>
      </c>
      <c r="C302" t="s">
        <v>37</v>
      </c>
      <c r="D302" t="s">
        <f>'客户档案'!B3</f>
        <v>38</v>
      </c>
      <c r="E302" t="s">
        <v>51</v>
      </c>
      <c r="F302" t="s">
        <v>52</v>
      </c>
      <c r="G302" t="s">
        <f>'商品目录'!B4</f>
        <v>53</v>
      </c>
      <c r="H302" t="s">
        <v>54</v>
      </c>
      <c r="I302">
        <v>6</v>
      </c>
      <c r="J302" s="4">
        <v>129</v>
      </c>
      <c r="K302" s="4">
        <f>I302*J302</f>
        <v>774</v>
      </c>
      <c r="L302" s="3">
        <v>0.5</v>
      </c>
      <c r="M302" s="4">
        <f>K302*L302</f>
        <v>387</v>
      </c>
      <c r="N302" s="4">
        <v>0</v>
      </c>
      <c r="O302" s="4">
        <f>K302-M302+N302</f>
        <v>387</v>
      </c>
      <c r="P302" t="s">
        <v>43</v>
      </c>
      <c r="Q302" t="b">
        <v>1</v>
      </c>
      <c r="R302" t="s">
        <v>55</v>
      </c>
      <c r="S302" t="s">
        <v>45</v>
      </c>
      <c r="T302" t="s">
        <v>46</v>
      </c>
      <c r="U302" t="s">
        <v>51</v>
      </c>
      <c r="V302" t="s">
        <v>38</v>
      </c>
      <c r="W302" t="s">
        <v>668</v>
      </c>
      <c r="X302" t="s">
        <v>59</v>
      </c>
      <c r="Y302">
        <v>9007199254741290</v>
      </c>
      <c r="Z302">
        <v>0</v>
      </c>
      <c r="AA302" t="s">
        <v>38</v>
      </c>
      <c r="AB302" t="b">
        <v>1</v>
      </c>
      <c r="AD302" s="3">
        <v>0.125</v>
      </c>
      <c r="AE302" s="2">
        <v>45919.5</v>
      </c>
      <c r="AF302" t="s">
        <v>60</v>
      </c>
    </row>
    <row r="303">
      <c r="A303" t="s">
        <v>669</v>
      </c>
      <c r="B303" s="2">
        <v>45918.5</v>
      </c>
      <c r="C303" t="s">
        <v>49</v>
      </c>
      <c r="D303" t="s">
        <f>'客户档案'!B4</f>
        <v>50</v>
      </c>
      <c r="E303" t="s">
        <v>64</v>
      </c>
      <c r="F303" t="s">
        <v>65</v>
      </c>
      <c r="G303" t="s">
        <f>'商品目录'!B5</f>
        <v>66</v>
      </c>
      <c r="H303" t="s">
        <v>67</v>
      </c>
      <c r="I303">
        <v>8</v>
      </c>
      <c r="J303" s="4">
        <v>45</v>
      </c>
      <c r="K303" s="4">
        <f>I303*J303</f>
        <v>360</v>
      </c>
      <c r="L303" s="3">
        <v>0</v>
      </c>
      <c r="M303" s="4">
        <f>K303*L303</f>
        <v>0</v>
      </c>
      <c r="N303" s="4">
        <v>10</v>
      </c>
      <c r="O303" s="4">
        <f>K303-M303+N303</f>
        <v>370</v>
      </c>
      <c r="P303" t="s">
        <v>43</v>
      </c>
      <c r="Q303" t="b">
        <v>1</v>
      </c>
      <c r="R303" t="s">
        <v>55</v>
      </c>
      <c r="S303" t="s">
        <v>56</v>
      </c>
      <c r="T303" t="s">
        <v>57</v>
      </c>
      <c r="U303" t="s">
        <v>70</v>
      </c>
      <c r="V303" t="s">
        <v>50</v>
      </c>
      <c r="W303" t="s">
        <v>670</v>
      </c>
      <c r="X303" t="s">
        <v>72</v>
      </c>
      <c r="Y303">
        <v>9007199254741291</v>
      </c>
      <c r="Z303">
        <v>0</v>
      </c>
      <c r="AA303" t="s">
        <v>50</v>
      </c>
      <c r="AB303" t="b">
        <v>0</v>
      </c>
      <c r="AD303" s="3">
        <v>0.125</v>
      </c>
      <c r="AE303" s="2">
        <v>45920.5</v>
      </c>
      <c r="AF303" t="s">
        <v>60</v>
      </c>
    </row>
    <row r="304">
      <c r="A304" t="s">
        <v>671</v>
      </c>
      <c r="B304" s="2">
        <v>45919.5</v>
      </c>
      <c r="C304" t="s">
        <v>62</v>
      </c>
      <c r="D304" t="s">
        <f>'客户档案'!B5</f>
        <v>63</v>
      </c>
      <c r="E304" t="s">
        <v>74</v>
      </c>
      <c r="F304" t="s">
        <v>75</v>
      </c>
      <c r="G304" t="s">
        <f>'商品目录'!B6</f>
        <v>76</v>
      </c>
      <c r="H304" t="s">
        <v>77</v>
      </c>
      <c r="I304">
        <v>10</v>
      </c>
      <c r="J304" s="4">
        <v>8</v>
      </c>
      <c r="K304" s="4">
        <f>I304*J304</f>
        <v>80</v>
      </c>
      <c r="L304" s="3">
        <v>0.5</v>
      </c>
      <c r="M304" s="4">
        <f>K304*L304</f>
        <v>40</v>
      </c>
      <c r="N304" s="4">
        <v>20</v>
      </c>
      <c r="O304" s="4">
        <f>K304-M304+N304</f>
        <v>60</v>
      </c>
      <c r="P304" t="s">
        <v>43</v>
      </c>
      <c r="Q304" t="b">
        <v>1</v>
      </c>
      <c r="R304" t="s">
        <v>55</v>
      </c>
      <c r="S304" t="s">
        <v>68</v>
      </c>
      <c r="T304" t="s">
        <v>69</v>
      </c>
      <c r="U304" t="s">
        <v>78</v>
      </c>
      <c r="V304" t="s">
        <v>63</v>
      </c>
      <c r="W304" t="s">
        <v>672</v>
      </c>
      <c r="X304" t="s">
        <v>80</v>
      </c>
      <c r="Y304">
        <v>9007199254741292</v>
      </c>
      <c r="Z304">
        <v>0</v>
      </c>
      <c r="AA304" t="s">
        <v>63</v>
      </c>
      <c r="AB304" t="b">
        <v>1</v>
      </c>
      <c r="AD304" s="3">
        <v>0.125</v>
      </c>
      <c r="AE304" s="2">
        <v>45921.5</v>
      </c>
      <c r="AF304" t="s">
        <v>60</v>
      </c>
    </row>
    <row r="305">
      <c r="A305" t="s">
        <v>673</v>
      </c>
      <c r="B305" s="2">
        <v>45920.5</v>
      </c>
      <c r="C305" t="s">
        <v>37</v>
      </c>
      <c r="D305" t="s">
        <f>'客户档案'!B3</f>
        <v>38</v>
      </c>
      <c r="E305" t="s">
        <v>39</v>
      </c>
      <c r="F305" t="s">
        <v>40</v>
      </c>
      <c r="G305" t="s">
        <f>'商品目录'!B3</f>
        <v>41</v>
      </c>
      <c r="H305" t="s">
        <v>42</v>
      </c>
      <c r="I305">
        <v>2</v>
      </c>
      <c r="J305" s="4">
        <v>99</v>
      </c>
      <c r="K305" s="4">
        <f>I305*J305</f>
        <v>198</v>
      </c>
      <c r="L305" s="3">
        <v>0</v>
      </c>
      <c r="M305" s="4">
        <f>K305*L305</f>
        <v>0</v>
      </c>
      <c r="N305" s="4">
        <v>0</v>
      </c>
      <c r="O305" s="4">
        <f>K305-M305+N305</f>
        <v>198</v>
      </c>
      <c r="P305" t="s">
        <v>43</v>
      </c>
      <c r="Q305" t="b">
        <v>0</v>
      </c>
      <c r="R305" t="s">
        <v>44</v>
      </c>
      <c r="S305" t="s">
        <v>45</v>
      </c>
      <c r="T305" t="s">
        <v>46</v>
      </c>
      <c r="U305" t="s">
        <v>39</v>
      </c>
      <c r="V305" t="s">
        <v>38</v>
      </c>
      <c r="W305" t="s">
        <v>674</v>
      </c>
      <c r="X305" t="s">
        <v>0</v>
      </c>
      <c r="Y305">
        <v>9007199254741293</v>
      </c>
      <c r="Z305">
        <v>0</v>
      </c>
      <c r="AA305" t="s">
        <v>38</v>
      </c>
      <c r="AB305" t="b">
        <v>0</v>
      </c>
      <c r="AD305" s="3">
        <v>0.125</v>
      </c>
      <c r="AE305" s="2">
        <v>45922.5</v>
      </c>
      <c r="AF305" t="s">
        <v>60</v>
      </c>
    </row>
    <row r="306">
      <c r="A306" t="s">
        <v>675</v>
      </c>
      <c r="B306" s="2">
        <v>45921.5</v>
      </c>
      <c r="C306" t="s">
        <v>49</v>
      </c>
      <c r="D306" t="s">
        <f>'客户档案'!B4</f>
        <v>50</v>
      </c>
      <c r="E306" t="s">
        <v>51</v>
      </c>
      <c r="F306" t="s">
        <v>52</v>
      </c>
      <c r="G306" t="s">
        <f>'商品目录'!B4</f>
        <v>53</v>
      </c>
      <c r="H306" t="s">
        <v>54</v>
      </c>
      <c r="I306">
        <v>4</v>
      </c>
      <c r="J306" s="4">
        <v>129</v>
      </c>
      <c r="K306" s="4">
        <f>I306*J306</f>
        <v>516</v>
      </c>
      <c r="L306" s="3">
        <v>0.5</v>
      </c>
      <c r="M306" s="4">
        <f>K306*L306</f>
        <v>258</v>
      </c>
      <c r="N306" s="4">
        <v>10</v>
      </c>
      <c r="O306" s="4">
        <f>K306-M306+N306</f>
        <v>268</v>
      </c>
      <c r="P306" t="s">
        <v>43</v>
      </c>
      <c r="Q306" t="b">
        <v>1</v>
      </c>
      <c r="R306" t="s">
        <v>55</v>
      </c>
      <c r="S306" t="s">
        <v>56</v>
      </c>
      <c r="T306" t="s">
        <v>57</v>
      </c>
      <c r="U306" t="s">
        <v>51</v>
      </c>
      <c r="V306" t="s">
        <v>50</v>
      </c>
      <c r="W306" t="s">
        <v>676</v>
      </c>
      <c r="X306" t="s">
        <v>59</v>
      </c>
      <c r="Y306">
        <v>9007199254741294</v>
      </c>
      <c r="Z306">
        <v>0</v>
      </c>
      <c r="AA306" t="s">
        <v>50</v>
      </c>
      <c r="AB306" t="b">
        <v>1</v>
      </c>
      <c r="AD306" s="3">
        <v>0.125</v>
      </c>
      <c r="AE306" s="2">
        <v>45923.5</v>
      </c>
      <c r="AF306" t="s">
        <v>60</v>
      </c>
    </row>
    <row r="307">
      <c r="A307" t="s">
        <v>677</v>
      </c>
      <c r="B307" s="2">
        <v>45922.5</v>
      </c>
      <c r="C307" t="s">
        <v>62</v>
      </c>
      <c r="D307" t="s">
        <f>'客户档案'!B5</f>
        <v>63</v>
      </c>
      <c r="E307" t="s">
        <v>64</v>
      </c>
      <c r="F307" t="s">
        <v>65</v>
      </c>
      <c r="G307" t="s">
        <f>'商品目录'!B5</f>
        <v>66</v>
      </c>
      <c r="H307" t="s">
        <v>67</v>
      </c>
      <c r="I307">
        <v>6</v>
      </c>
      <c r="J307" s="4">
        <v>45</v>
      </c>
      <c r="K307" s="4">
        <f>I307*J307</f>
        <v>270</v>
      </c>
      <c r="L307" s="3">
        <v>0</v>
      </c>
      <c r="M307" s="4">
        <f>K307*L307</f>
        <v>0</v>
      </c>
      <c r="N307" s="4">
        <v>20</v>
      </c>
      <c r="O307" s="4">
        <f>K307-M307+N307</f>
        <v>290</v>
      </c>
      <c r="P307" t="s">
        <v>43</v>
      </c>
      <c r="Q307" t="b">
        <v>1</v>
      </c>
      <c r="R307" t="s">
        <v>55</v>
      </c>
      <c r="S307" t="s">
        <v>68</v>
      </c>
      <c r="T307" t="s">
        <v>69</v>
      </c>
      <c r="U307" t="s">
        <v>70</v>
      </c>
      <c r="V307" t="s">
        <v>63</v>
      </c>
      <c r="W307" t="s">
        <v>678</v>
      </c>
      <c r="X307" t="s">
        <v>72</v>
      </c>
      <c r="Y307">
        <v>9007199254741295</v>
      </c>
      <c r="Z307">
        <v>0</v>
      </c>
      <c r="AA307" t="s">
        <v>63</v>
      </c>
      <c r="AB307" t="b">
        <v>0</v>
      </c>
      <c r="AD307" s="3">
        <v>0.125</v>
      </c>
      <c r="AE307" s="2">
        <v>45924.5</v>
      </c>
      <c r="AF307" t="s">
        <v>60</v>
      </c>
    </row>
    <row r="308">
      <c r="A308" t="s">
        <v>679</v>
      </c>
      <c r="B308" s="2">
        <v>45923.5</v>
      </c>
      <c r="C308" t="s">
        <v>37</v>
      </c>
      <c r="D308" t="s">
        <f>'客户档案'!B3</f>
        <v>38</v>
      </c>
      <c r="E308" t="s">
        <v>74</v>
      </c>
      <c r="F308" t="s">
        <v>75</v>
      </c>
      <c r="G308" t="s">
        <f>'商品目录'!B6</f>
        <v>76</v>
      </c>
      <c r="H308" t="s">
        <v>77</v>
      </c>
      <c r="I308">
        <v>8</v>
      </c>
      <c r="J308" s="4">
        <v>8</v>
      </c>
      <c r="K308" s="4">
        <f>I308*J308</f>
        <v>64</v>
      </c>
      <c r="L308" s="3">
        <v>0.5</v>
      </c>
      <c r="M308" s="4">
        <f>K308*L308</f>
        <v>32</v>
      </c>
      <c r="N308" s="4">
        <v>0</v>
      </c>
      <c r="O308" s="4">
        <f>K308-M308+N308</f>
        <v>32</v>
      </c>
      <c r="P308" t="s">
        <v>43</v>
      </c>
      <c r="Q308" t="b">
        <v>1</v>
      </c>
      <c r="R308" t="s">
        <v>55</v>
      </c>
      <c r="S308" t="s">
        <v>45</v>
      </c>
      <c r="T308" t="s">
        <v>46</v>
      </c>
      <c r="U308" t="s">
        <v>78</v>
      </c>
      <c r="V308" t="s">
        <v>38</v>
      </c>
      <c r="W308" t="s">
        <v>680</v>
      </c>
      <c r="X308" t="s">
        <v>80</v>
      </c>
      <c r="Y308">
        <v>9007199254741296</v>
      </c>
      <c r="Z308">
        <v>0</v>
      </c>
      <c r="AA308" t="s">
        <v>38</v>
      </c>
      <c r="AB308" t="b">
        <v>1</v>
      </c>
      <c r="AD308" s="3">
        <v>0.125</v>
      </c>
      <c r="AE308" s="2">
        <v>45925.5</v>
      </c>
      <c r="AF308" t="e">
        <v>#N/A</v>
      </c>
    </row>
    <row r="309">
      <c r="A309" t="s">
        <v>681</v>
      </c>
      <c r="B309" s="2">
        <v>45924.5</v>
      </c>
      <c r="C309" t="s">
        <v>49</v>
      </c>
      <c r="D309" t="s">
        <f>'客户档案'!B4</f>
        <v>50</v>
      </c>
      <c r="E309" t="s">
        <v>39</v>
      </c>
      <c r="F309" t="s">
        <v>40</v>
      </c>
      <c r="G309" t="s">
        <f>'商品目录'!B3</f>
        <v>41</v>
      </c>
      <c r="H309" t="s">
        <v>42</v>
      </c>
      <c r="I309">
        <v>10</v>
      </c>
      <c r="J309" s="4">
        <v>99</v>
      </c>
      <c r="K309" s="4">
        <f>I309*J309</f>
        <v>990</v>
      </c>
      <c r="L309" s="3">
        <v>0</v>
      </c>
      <c r="M309" s="4">
        <f>K309*L309</f>
        <v>0</v>
      </c>
      <c r="N309" s="4">
        <v>10</v>
      </c>
      <c r="O309" s="4">
        <f>K309-M309+N309</f>
        <v>1000</v>
      </c>
      <c r="P309" t="s">
        <v>43</v>
      </c>
      <c r="Q309" t="b">
        <v>0</v>
      </c>
      <c r="R309" t="s">
        <v>44</v>
      </c>
      <c r="S309" t="s">
        <v>56</v>
      </c>
      <c r="T309" t="s">
        <v>57</v>
      </c>
      <c r="U309" t="s">
        <v>39</v>
      </c>
      <c r="V309" t="s">
        <v>50</v>
      </c>
      <c r="W309" t="s">
        <v>682</v>
      </c>
      <c r="X309" t="s">
        <v>0</v>
      </c>
      <c r="Y309">
        <v>9007199254741297</v>
      </c>
      <c r="Z309">
        <v>0</v>
      </c>
      <c r="AA309" t="s">
        <v>50</v>
      </c>
      <c r="AB309" t="b">
        <v>0</v>
      </c>
      <c r="AD309" s="3">
        <v>0.125</v>
      </c>
      <c r="AE309" s="2">
        <v>45926.5</v>
      </c>
      <c r="AF309" t="s">
        <v>60</v>
      </c>
    </row>
    <row r="310">
      <c r="A310" t="s">
        <v>683</v>
      </c>
      <c r="B310" s="2">
        <v>45925.5</v>
      </c>
      <c r="C310" t="s">
        <v>62</v>
      </c>
      <c r="D310" t="s">
        <f>'客户档案'!B5</f>
        <v>63</v>
      </c>
      <c r="E310" t="s">
        <v>51</v>
      </c>
      <c r="F310" t="s">
        <v>52</v>
      </c>
      <c r="G310" t="s">
        <f>'商品目录'!B4</f>
        <v>53</v>
      </c>
      <c r="H310" t="s">
        <v>54</v>
      </c>
      <c r="I310">
        <v>2</v>
      </c>
      <c r="J310" s="4">
        <v>129</v>
      </c>
      <c r="K310" s="4">
        <f>I310*J310</f>
        <v>258</v>
      </c>
      <c r="L310" s="3">
        <v>0.5</v>
      </c>
      <c r="M310" s="4">
        <f>K310*L310</f>
        <v>129</v>
      </c>
      <c r="N310" s="4">
        <v>20</v>
      </c>
      <c r="O310" s="4">
        <f>K310-M310+N310</f>
        <v>149</v>
      </c>
      <c r="P310" t="s">
        <v>43</v>
      </c>
      <c r="Q310" t="b">
        <v>1</v>
      </c>
      <c r="R310" t="s">
        <v>55</v>
      </c>
      <c r="S310" t="s">
        <v>68</v>
      </c>
      <c r="T310" t="s">
        <v>69</v>
      </c>
      <c r="U310" t="s">
        <v>51</v>
      </c>
      <c r="V310" t="s">
        <v>63</v>
      </c>
      <c r="W310" t="s">
        <v>684</v>
      </c>
      <c r="X310" t="s">
        <v>59</v>
      </c>
      <c r="Y310">
        <v>9007199254741298</v>
      </c>
      <c r="Z310">
        <v>0</v>
      </c>
      <c r="AA310" t="s">
        <v>63</v>
      </c>
      <c r="AB310" t="b">
        <v>1</v>
      </c>
      <c r="AD310" s="3">
        <v>0.125</v>
      </c>
      <c r="AE310" s="2">
        <v>45927.5</v>
      </c>
      <c r="AF310" t="s">
        <v>60</v>
      </c>
    </row>
    <row r="311">
      <c r="A311" t="s">
        <v>685</v>
      </c>
      <c r="B311" s="2">
        <v>45926.5</v>
      </c>
      <c r="C311" t="s">
        <v>37</v>
      </c>
      <c r="D311" t="s">
        <f>'客户档案'!B3</f>
        <v>38</v>
      </c>
      <c r="E311" t="s">
        <v>64</v>
      </c>
      <c r="F311" t="s">
        <v>65</v>
      </c>
      <c r="G311" t="s">
        <f>'商品目录'!B5</f>
        <v>66</v>
      </c>
      <c r="H311" t="s">
        <v>67</v>
      </c>
      <c r="I311">
        <v>4</v>
      </c>
      <c r="J311" s="4">
        <v>45</v>
      </c>
      <c r="K311" s="4">
        <f>I311*J311</f>
        <v>180</v>
      </c>
      <c r="L311" s="3">
        <v>0</v>
      </c>
      <c r="M311" s="4">
        <f>K311*L311</f>
        <v>0</v>
      </c>
      <c r="N311" s="4">
        <v>0</v>
      </c>
      <c r="O311" s="4">
        <f>K311-M311+N311</f>
        <v>180</v>
      </c>
      <c r="P311" t="s">
        <v>43</v>
      </c>
      <c r="Q311" t="b">
        <v>1</v>
      </c>
      <c r="R311" t="s">
        <v>55</v>
      </c>
      <c r="S311" t="s">
        <v>45</v>
      </c>
      <c r="T311" t="s">
        <v>46</v>
      </c>
      <c r="U311" t="s">
        <v>70</v>
      </c>
      <c r="V311" t="s">
        <v>38</v>
      </c>
      <c r="W311" t="s">
        <v>686</v>
      </c>
      <c r="X311" t="s">
        <v>72</v>
      </c>
      <c r="Y311">
        <v>9007199254741299</v>
      </c>
      <c r="Z311">
        <v>2</v>
      </c>
      <c r="AA311" t="s">
        <v>38</v>
      </c>
      <c r="AB311" t="b">
        <v>0</v>
      </c>
      <c r="AD311" s="3">
        <v>0.125</v>
      </c>
      <c r="AE311" s="2">
        <v>45928.5</v>
      </c>
      <c r="AF311" t="s">
        <v>60</v>
      </c>
    </row>
    <row r="312">
      <c r="A312" t="s">
        <v>687</v>
      </c>
      <c r="B312" s="2">
        <v>45927.5</v>
      </c>
      <c r="C312" t="s">
        <v>49</v>
      </c>
      <c r="D312" t="s">
        <f>'客户档案'!B4</f>
        <v>50</v>
      </c>
      <c r="E312" t="s">
        <v>74</v>
      </c>
      <c r="F312" t="s">
        <v>75</v>
      </c>
      <c r="G312" t="s">
        <f>'商品目录'!B6</f>
        <v>76</v>
      </c>
      <c r="H312" t="s">
        <v>77</v>
      </c>
      <c r="I312">
        <v>6</v>
      </c>
      <c r="J312" s="4">
        <v>8</v>
      </c>
      <c r="K312" s="4">
        <f>I312*J312</f>
        <v>48</v>
      </c>
      <c r="L312" s="3">
        <v>0.5</v>
      </c>
      <c r="M312" s="4">
        <f>K312*L312</f>
        <v>24</v>
      </c>
      <c r="N312" s="4">
        <v>10</v>
      </c>
      <c r="O312" s="4">
        <f>K312-M312+N312</f>
        <v>34</v>
      </c>
      <c r="P312" t="s">
        <v>43</v>
      </c>
      <c r="Q312" t="b">
        <v>1</v>
      </c>
      <c r="R312" t="s">
        <v>55</v>
      </c>
      <c r="S312" t="s">
        <v>56</v>
      </c>
      <c r="T312" t="s">
        <v>57</v>
      </c>
      <c r="U312" t="s">
        <v>78</v>
      </c>
      <c r="V312" t="s">
        <v>50</v>
      </c>
      <c r="W312" t="s">
        <v>688</v>
      </c>
      <c r="X312" t="s">
        <v>80</v>
      </c>
      <c r="Y312">
        <v>9007199254741300</v>
      </c>
      <c r="Z312">
        <v>0</v>
      </c>
      <c r="AA312" t="s">
        <v>50</v>
      </c>
      <c r="AB312" t="b">
        <v>1</v>
      </c>
      <c r="AD312" s="3">
        <v>0.125</v>
      </c>
      <c r="AE312" s="2">
        <v>45929.5</v>
      </c>
      <c r="AF312" t="s">
        <v>60</v>
      </c>
    </row>
    <row r="313">
      <c r="A313" t="s">
        <v>689</v>
      </c>
      <c r="B313" s="2">
        <v>45900.5</v>
      </c>
      <c r="C313" t="s">
        <v>62</v>
      </c>
      <c r="D313" t="s">
        <f>'客户档案'!B5</f>
        <v>63</v>
      </c>
      <c r="E313" t="s">
        <v>39</v>
      </c>
      <c r="F313" t="s">
        <v>40</v>
      </c>
      <c r="G313" t="s">
        <f>'商品目录'!B3</f>
        <v>41</v>
      </c>
      <c r="H313" t="s">
        <v>42</v>
      </c>
      <c r="I313">
        <v>8</v>
      </c>
      <c r="J313" s="4">
        <v>99</v>
      </c>
      <c r="K313" s="4">
        <f>I313*J313</f>
        <v>792</v>
      </c>
      <c r="L313" s="3">
        <v>0</v>
      </c>
      <c r="M313" s="4">
        <f>K313*L313</f>
        <v>0</v>
      </c>
      <c r="N313" s="4">
        <v>20</v>
      </c>
      <c r="O313" s="4">
        <f>K313-M313+N313</f>
        <v>812</v>
      </c>
      <c r="P313" t="s">
        <v>43</v>
      </c>
      <c r="Q313" t="b">
        <v>0</v>
      </c>
      <c r="R313" t="s">
        <v>44</v>
      </c>
      <c r="S313" t="s">
        <v>68</v>
      </c>
      <c r="T313" t="s">
        <v>69</v>
      </c>
      <c r="U313" t="s">
        <v>39</v>
      </c>
      <c r="V313" t="s">
        <v>63</v>
      </c>
      <c r="W313" t="s">
        <v>690</v>
      </c>
      <c r="X313" t="s">
        <v>0</v>
      </c>
      <c r="Y313">
        <v>9007199254741301</v>
      </c>
      <c r="Z313">
        <v>0</v>
      </c>
      <c r="AA313" t="s">
        <v>63</v>
      </c>
      <c r="AB313" t="b">
        <v>0</v>
      </c>
      <c r="AD313" s="3">
        <v>0.125</v>
      </c>
      <c r="AE313" s="2">
        <v>45902.5</v>
      </c>
      <c r="AF313" t="s">
        <v>60</v>
      </c>
    </row>
    <row r="314">
      <c r="A314" t="s">
        <v>691</v>
      </c>
      <c r="B314" s="2">
        <v>45901.5</v>
      </c>
      <c r="C314" t="s">
        <v>37</v>
      </c>
      <c r="D314" t="s">
        <f>'客户档案'!B3</f>
        <v>38</v>
      </c>
      <c r="E314" t="s">
        <v>51</v>
      </c>
      <c r="F314" t="s">
        <v>52</v>
      </c>
      <c r="G314" t="s">
        <f>'商品目录'!B4</f>
        <v>53</v>
      </c>
      <c r="H314" t="s">
        <v>54</v>
      </c>
      <c r="I314">
        <v>10</v>
      </c>
      <c r="J314" s="4">
        <v>129</v>
      </c>
      <c r="K314" s="4">
        <f>I314*J314</f>
        <v>1290</v>
      </c>
      <c r="L314" s="3">
        <v>0.5</v>
      </c>
      <c r="M314" s="4">
        <f>K314*L314</f>
        <v>645</v>
      </c>
      <c r="N314" s="4">
        <v>0</v>
      </c>
      <c r="O314" s="4">
        <f>K314-M314+N314</f>
        <v>645</v>
      </c>
      <c r="P314" t="s">
        <v>43</v>
      </c>
      <c r="Q314" t="b">
        <v>1</v>
      </c>
      <c r="R314" t="s">
        <v>55</v>
      </c>
      <c r="S314" t="s">
        <v>45</v>
      </c>
      <c r="T314" t="s">
        <v>46</v>
      </c>
      <c r="U314" t="s">
        <v>51</v>
      </c>
      <c r="V314" t="s">
        <v>38</v>
      </c>
      <c r="W314" t="s">
        <v>692</v>
      </c>
      <c r="X314" t="s">
        <v>59</v>
      </c>
      <c r="Y314">
        <v>9007199254741302</v>
      </c>
      <c r="Z314">
        <v>0</v>
      </c>
      <c r="AA314" t="s">
        <v>38</v>
      </c>
      <c r="AB314" t="b">
        <v>1</v>
      </c>
      <c r="AD314" s="3">
        <v>0.125</v>
      </c>
      <c r="AE314" s="2">
        <v>45903.5</v>
      </c>
      <c r="AF314" t="s">
        <v>60</v>
      </c>
    </row>
    <row r="315">
      <c r="A315" t="s">
        <v>693</v>
      </c>
      <c r="B315" s="2">
        <v>45902.5</v>
      </c>
      <c r="C315" t="s">
        <v>49</v>
      </c>
      <c r="D315" t="s">
        <f>'客户档案'!B4</f>
        <v>50</v>
      </c>
      <c r="E315" t="s">
        <v>64</v>
      </c>
      <c r="F315" t="s">
        <v>65</v>
      </c>
      <c r="G315" t="s">
        <f>'商品目录'!B5</f>
        <v>66</v>
      </c>
      <c r="H315" t="s">
        <v>67</v>
      </c>
      <c r="I315">
        <v>2</v>
      </c>
      <c r="J315" s="4">
        <v>45</v>
      </c>
      <c r="K315" s="4">
        <f>I315*J315</f>
        <v>90</v>
      </c>
      <c r="L315" s="3">
        <v>0</v>
      </c>
      <c r="M315" s="4">
        <f>K315*L315</f>
        <v>0</v>
      </c>
      <c r="N315" s="4">
        <v>10</v>
      </c>
      <c r="O315" s="4">
        <f>K315-M315+N315</f>
        <v>100</v>
      </c>
      <c r="P315" t="s">
        <v>43</v>
      </c>
      <c r="Q315" t="b">
        <v>1</v>
      </c>
      <c r="R315" t="s">
        <v>55</v>
      </c>
      <c r="S315" t="s">
        <v>56</v>
      </c>
      <c r="T315" t="s">
        <v>57</v>
      </c>
      <c r="U315" t="s">
        <v>70</v>
      </c>
      <c r="V315" t="s">
        <v>50</v>
      </c>
      <c r="W315" t="s">
        <v>694</v>
      </c>
      <c r="X315" t="s">
        <v>72</v>
      </c>
      <c r="Y315">
        <v>9007199254741303</v>
      </c>
      <c r="Z315">
        <v>0</v>
      </c>
      <c r="AA315" t="s">
        <v>50</v>
      </c>
      <c r="AB315" t="b">
        <v>0</v>
      </c>
      <c r="AD315" s="3">
        <v>0.125</v>
      </c>
      <c r="AE315" s="2">
        <v>45904.5</v>
      </c>
      <c r="AF315" t="s">
        <v>60</v>
      </c>
    </row>
    <row r="316">
      <c r="A316" t="s">
        <v>695</v>
      </c>
      <c r="B316" s="2">
        <v>45903.5</v>
      </c>
      <c r="C316" t="s">
        <v>62</v>
      </c>
      <c r="D316" t="s">
        <f>'客户档案'!B5</f>
        <v>63</v>
      </c>
      <c r="E316" t="s">
        <v>74</v>
      </c>
      <c r="F316" t="s">
        <v>75</v>
      </c>
      <c r="G316" t="s">
        <f>'商品目录'!B6</f>
        <v>76</v>
      </c>
      <c r="H316" t="s">
        <v>77</v>
      </c>
      <c r="I316">
        <v>4</v>
      </c>
      <c r="J316" s="4">
        <v>8</v>
      </c>
      <c r="K316" s="4">
        <f>I316*J316</f>
        <v>32</v>
      </c>
      <c r="L316" s="3">
        <v>0.5</v>
      </c>
      <c r="M316" s="4">
        <f>K316*L316</f>
        <v>16</v>
      </c>
      <c r="N316" s="4">
        <v>20</v>
      </c>
      <c r="O316" s="4">
        <f>K316-M316+N316</f>
        <v>36</v>
      </c>
      <c r="P316" t="s">
        <v>43</v>
      </c>
      <c r="Q316" t="b">
        <v>1</v>
      </c>
      <c r="R316" t="s">
        <v>55</v>
      </c>
      <c r="S316" t="s">
        <v>68</v>
      </c>
      <c r="T316" t="s">
        <v>69</v>
      </c>
      <c r="U316" t="s">
        <v>78</v>
      </c>
      <c r="V316" t="s">
        <v>63</v>
      </c>
      <c r="W316" t="s">
        <v>696</v>
      </c>
      <c r="X316" t="s">
        <v>80</v>
      </c>
      <c r="Y316">
        <v>9007199254741304</v>
      </c>
      <c r="Z316">
        <v>0</v>
      </c>
      <c r="AA316" t="s">
        <v>63</v>
      </c>
      <c r="AB316" t="b">
        <v>1</v>
      </c>
      <c r="AD316" s="3">
        <v>0.125</v>
      </c>
      <c r="AE316" s="2">
        <v>45905.5</v>
      </c>
      <c r="AF316" t="s">
        <v>60</v>
      </c>
    </row>
    <row r="317">
      <c r="A317" t="s">
        <v>697</v>
      </c>
      <c r="B317" s="2">
        <v>45904.5</v>
      </c>
      <c r="C317" t="s">
        <v>37</v>
      </c>
      <c r="D317" t="s">
        <f>'客户档案'!B3</f>
        <v>38</v>
      </c>
      <c r="E317" t="s">
        <v>39</v>
      </c>
      <c r="F317" t="s">
        <v>40</v>
      </c>
      <c r="G317" t="s">
        <f>'商品目录'!B3</f>
        <v>41</v>
      </c>
      <c r="H317" t="s">
        <v>42</v>
      </c>
      <c r="I317">
        <v>6</v>
      </c>
      <c r="J317" s="4">
        <v>99</v>
      </c>
      <c r="K317" s="4">
        <f>I317*J317</f>
        <v>594</v>
      </c>
      <c r="L317" s="3">
        <v>0</v>
      </c>
      <c r="M317" s="4">
        <f>K317*L317</f>
        <v>0</v>
      </c>
      <c r="N317" s="4">
        <v>0</v>
      </c>
      <c r="O317" s="4">
        <f>K317-M317+N317</f>
        <v>594</v>
      </c>
      <c r="P317" t="s">
        <v>43</v>
      </c>
      <c r="Q317" t="b">
        <v>0</v>
      </c>
      <c r="R317" t="s">
        <v>44</v>
      </c>
      <c r="S317" t="s">
        <v>45</v>
      </c>
      <c r="T317" t="s">
        <v>46</v>
      </c>
      <c r="U317" t="s">
        <v>39</v>
      </c>
      <c r="V317" t="s">
        <v>38</v>
      </c>
      <c r="W317" t="s">
        <v>698</v>
      </c>
      <c r="X317" t="s">
        <v>0</v>
      </c>
      <c r="Y317">
        <v>9007199254741305</v>
      </c>
      <c r="Z317">
        <v>0</v>
      </c>
      <c r="AA317" t="s">
        <v>38</v>
      </c>
      <c r="AB317" t="b">
        <v>0</v>
      </c>
      <c r="AD317" s="3">
        <v>0.125</v>
      </c>
      <c r="AE317" s="2">
        <v>45906.5</v>
      </c>
      <c r="AF317" t="s">
        <v>60</v>
      </c>
    </row>
    <row r="318">
      <c r="A318" t="s">
        <v>699</v>
      </c>
      <c r="B318" s="2">
        <v>45905.5</v>
      </c>
      <c r="C318" t="s">
        <v>49</v>
      </c>
      <c r="D318" t="s">
        <f>'客户档案'!B4</f>
        <v>50</v>
      </c>
      <c r="E318" t="s">
        <v>51</v>
      </c>
      <c r="F318" t="s">
        <v>52</v>
      </c>
      <c r="G318" t="s">
        <f>'商品目录'!B4</f>
        <v>53</v>
      </c>
      <c r="H318" t="s">
        <v>54</v>
      </c>
      <c r="I318">
        <v>8</v>
      </c>
      <c r="J318" s="4">
        <v>129</v>
      </c>
      <c r="K318" s="4">
        <f>I318*J318</f>
        <v>1032</v>
      </c>
      <c r="L318" s="3">
        <v>0.5</v>
      </c>
      <c r="M318" s="4">
        <f>K318*L318</f>
        <v>516</v>
      </c>
      <c r="N318" s="4">
        <v>10</v>
      </c>
      <c r="O318" s="4">
        <f>K318-M318+N318</f>
        <v>526</v>
      </c>
      <c r="P318" t="s">
        <v>43</v>
      </c>
      <c r="Q318" t="b">
        <v>1</v>
      </c>
      <c r="R318" t="s">
        <v>55</v>
      </c>
      <c r="S318" t="s">
        <v>56</v>
      </c>
      <c r="T318" t="s">
        <v>57</v>
      </c>
      <c r="U318" t="s">
        <v>51</v>
      </c>
      <c r="V318" t="s">
        <v>50</v>
      </c>
      <c r="W318" t="s">
        <v>700</v>
      </c>
      <c r="X318" t="s">
        <v>59</v>
      </c>
      <c r="Y318">
        <v>9007199254741306</v>
      </c>
      <c r="Z318">
        <v>0</v>
      </c>
      <c r="AA318" t="s">
        <v>50</v>
      </c>
      <c r="AB318" t="b">
        <v>1</v>
      </c>
      <c r="AD318" s="3">
        <v>0.125</v>
      </c>
      <c r="AE318" s="2">
        <v>45907.5</v>
      </c>
      <c r="AF318" t="s">
        <v>60</v>
      </c>
    </row>
    <row r="319">
      <c r="A319" t="s">
        <v>701</v>
      </c>
      <c r="B319" s="2">
        <v>45906.5</v>
      </c>
      <c r="C319" t="s">
        <v>62</v>
      </c>
      <c r="D319" t="s">
        <f>'客户档案'!B5</f>
        <v>63</v>
      </c>
      <c r="E319" t="s">
        <v>64</v>
      </c>
      <c r="F319" t="s">
        <v>65</v>
      </c>
      <c r="G319" t="s">
        <f>'商品目录'!B5</f>
        <v>66</v>
      </c>
      <c r="H319" t="s">
        <v>67</v>
      </c>
      <c r="I319">
        <v>10</v>
      </c>
      <c r="J319" s="4">
        <v>45</v>
      </c>
      <c r="K319" s="4">
        <f>I319*J319</f>
        <v>450</v>
      </c>
      <c r="L319" s="3">
        <v>0</v>
      </c>
      <c r="M319" s="4">
        <f>K319*L319</f>
        <v>0</v>
      </c>
      <c r="N319" s="4">
        <v>20</v>
      </c>
      <c r="O319" s="4">
        <f>K319-M319+N319</f>
        <v>470</v>
      </c>
      <c r="P319" t="s">
        <v>43</v>
      </c>
      <c r="Q319" t="b">
        <v>1</v>
      </c>
      <c r="R319" t="s">
        <v>55</v>
      </c>
      <c r="S319" t="s">
        <v>68</v>
      </c>
      <c r="T319" t="s">
        <v>69</v>
      </c>
      <c r="U319" t="s">
        <v>70</v>
      </c>
      <c r="V319" t="s">
        <v>63</v>
      </c>
      <c r="W319" t="s">
        <v>702</v>
      </c>
      <c r="X319" t="s">
        <v>72</v>
      </c>
      <c r="Y319">
        <v>9007199254741307</v>
      </c>
      <c r="Z319">
        <v>0</v>
      </c>
      <c r="AA319" t="s">
        <v>63</v>
      </c>
      <c r="AB319" t="b">
        <v>0</v>
      </c>
      <c r="AD319" s="3">
        <v>0.125</v>
      </c>
      <c r="AE319" s="2">
        <v>45908.5</v>
      </c>
      <c r="AF319" t="s">
        <v>60</v>
      </c>
    </row>
    <row r="320">
      <c r="A320" t="s">
        <v>703</v>
      </c>
      <c r="B320" s="2">
        <v>45907.5</v>
      </c>
      <c r="C320" t="s">
        <v>37</v>
      </c>
      <c r="D320" t="s">
        <f>'客户档案'!B3</f>
        <v>38</v>
      </c>
      <c r="E320" t="s">
        <v>74</v>
      </c>
      <c r="F320" t="s">
        <v>75</v>
      </c>
      <c r="G320" t="s">
        <f>'商品目录'!B6</f>
        <v>76</v>
      </c>
      <c r="H320" t="s">
        <v>77</v>
      </c>
      <c r="I320">
        <v>2</v>
      </c>
      <c r="J320" s="4">
        <v>8</v>
      </c>
      <c r="K320" s="4">
        <f>I320*J320</f>
        <v>16</v>
      </c>
      <c r="L320" s="3">
        <v>0.5</v>
      </c>
      <c r="M320" s="4">
        <f>K320*L320</f>
        <v>8</v>
      </c>
      <c r="N320" s="4">
        <v>0</v>
      </c>
      <c r="O320" s="4">
        <f>K320-M320+N320</f>
        <v>8</v>
      </c>
      <c r="P320" t="s">
        <v>43</v>
      </c>
      <c r="Q320" t="b">
        <v>1</v>
      </c>
      <c r="R320" t="s">
        <v>55</v>
      </c>
      <c r="S320" t="s">
        <v>45</v>
      </c>
      <c r="T320" t="s">
        <v>46</v>
      </c>
      <c r="U320" t="s">
        <v>78</v>
      </c>
      <c r="V320" t="s">
        <v>38</v>
      </c>
      <c r="W320" t="s">
        <v>704</v>
      </c>
      <c r="X320" t="s">
        <v>80</v>
      </c>
      <c r="Y320">
        <v>9007199254741308</v>
      </c>
      <c r="Z320">
        <v>0</v>
      </c>
      <c r="AA320" t="s">
        <v>38</v>
      </c>
      <c r="AB320" t="b">
        <v>1</v>
      </c>
      <c r="AD320" s="3">
        <v>0.125</v>
      </c>
      <c r="AE320" s="2">
        <v>45909.5</v>
      </c>
      <c r="AF320" t="s">
        <v>60</v>
      </c>
    </row>
    <row r="321">
      <c r="A321" t="s">
        <v>705</v>
      </c>
      <c r="B321" s="2">
        <v>45908.5</v>
      </c>
      <c r="C321" t="s">
        <v>49</v>
      </c>
      <c r="D321" t="s">
        <f>'客户档案'!B4</f>
        <v>50</v>
      </c>
      <c r="E321" t="s">
        <v>39</v>
      </c>
      <c r="F321" t="s">
        <v>40</v>
      </c>
      <c r="G321" t="s">
        <f>'商品目录'!B3</f>
        <v>41</v>
      </c>
      <c r="H321" t="s">
        <v>42</v>
      </c>
      <c r="I321">
        <v>4</v>
      </c>
      <c r="J321" s="4">
        <v>99</v>
      </c>
      <c r="K321" s="4">
        <f>I321*J321</f>
        <v>396</v>
      </c>
      <c r="L321" s="3">
        <v>0</v>
      </c>
      <c r="M321" s="4">
        <f>K321*L321</f>
        <v>0</v>
      </c>
      <c r="N321" s="4">
        <v>10</v>
      </c>
      <c r="O321" s="4">
        <f>K321-M321+N321</f>
        <v>406</v>
      </c>
      <c r="P321" t="s">
        <v>43</v>
      </c>
      <c r="Q321" t="b">
        <v>0</v>
      </c>
      <c r="R321" t="s">
        <v>44</v>
      </c>
      <c r="S321" t="s">
        <v>56</v>
      </c>
      <c r="T321" t="s">
        <v>57</v>
      </c>
      <c r="U321" t="s">
        <v>39</v>
      </c>
      <c r="V321" t="s">
        <v>50</v>
      </c>
      <c r="W321" t="s">
        <v>706</v>
      </c>
      <c r="X321" t="s">
        <v>0</v>
      </c>
      <c r="Y321">
        <v>9007199254741309</v>
      </c>
      <c r="Z321">
        <v>0</v>
      </c>
      <c r="AA321" t="s">
        <v>50</v>
      </c>
      <c r="AB321" t="b">
        <v>0</v>
      </c>
      <c r="AD321" s="3">
        <v>0.125</v>
      </c>
      <c r="AE321" s="2">
        <v>45910.5</v>
      </c>
      <c r="AF321" t="s">
        <v>60</v>
      </c>
    </row>
    <row r="322">
      <c r="A322" t="s">
        <v>707</v>
      </c>
      <c r="B322" s="2">
        <v>45909.5</v>
      </c>
      <c r="C322" t="s">
        <v>62</v>
      </c>
      <c r="D322" t="s">
        <f>'客户档案'!B5</f>
        <v>63</v>
      </c>
      <c r="E322" t="s">
        <v>51</v>
      </c>
      <c r="F322" t="s">
        <v>52</v>
      </c>
      <c r="G322" t="s">
        <f>'商品目录'!B4</f>
        <v>53</v>
      </c>
      <c r="H322" t="s">
        <v>54</v>
      </c>
      <c r="I322">
        <v>6</v>
      </c>
      <c r="J322" s="4">
        <v>129</v>
      </c>
      <c r="K322" s="4">
        <f>I322*J322</f>
        <v>774</v>
      </c>
      <c r="L322" s="3">
        <v>0.5</v>
      </c>
      <c r="M322" s="4">
        <f>K322*L322</f>
        <v>387</v>
      </c>
      <c r="N322" s="4">
        <v>20</v>
      </c>
      <c r="O322" s="4">
        <f>K322-M322+N322</f>
        <v>407</v>
      </c>
      <c r="P322" t="s">
        <v>43</v>
      </c>
      <c r="Q322" t="b">
        <v>1</v>
      </c>
      <c r="R322" t="s">
        <v>55</v>
      </c>
      <c r="S322" t="s">
        <v>68</v>
      </c>
      <c r="T322" t="s">
        <v>69</v>
      </c>
      <c r="U322" t="s">
        <v>51</v>
      </c>
      <c r="V322" t="s">
        <v>63</v>
      </c>
      <c r="W322" t="s">
        <v>708</v>
      </c>
      <c r="X322" t="s">
        <v>59</v>
      </c>
      <c r="Y322">
        <v>9007199254741310</v>
      </c>
      <c r="Z322">
        <v>0</v>
      </c>
      <c r="AA322" t="s">
        <v>63</v>
      </c>
      <c r="AB322" t="b">
        <v>1</v>
      </c>
      <c r="AD322" s="3">
        <v>0.125</v>
      </c>
      <c r="AE322" s="2">
        <v>45911.5</v>
      </c>
      <c r="AF322" t="s">
        <v>60</v>
      </c>
    </row>
    <row r="323">
      <c r="A323" t="s">
        <v>709</v>
      </c>
      <c r="B323" s="2">
        <v>45910.5</v>
      </c>
      <c r="C323" t="s">
        <v>37</v>
      </c>
      <c r="D323" t="s">
        <f>'客户档案'!B3</f>
        <v>38</v>
      </c>
      <c r="E323" t="s">
        <v>64</v>
      </c>
      <c r="F323" t="s">
        <v>65</v>
      </c>
      <c r="G323" t="s">
        <f>'商品目录'!B5</f>
        <v>66</v>
      </c>
      <c r="H323" t="s">
        <v>67</v>
      </c>
      <c r="I323">
        <v>8</v>
      </c>
      <c r="J323" s="4">
        <v>45</v>
      </c>
      <c r="K323" s="4">
        <f>I323*J323</f>
        <v>360</v>
      </c>
      <c r="L323" s="3">
        <v>0</v>
      </c>
      <c r="M323" s="4">
        <f>K323*L323</f>
        <v>0</v>
      </c>
      <c r="N323" s="4">
        <v>0</v>
      </c>
      <c r="O323" s="4">
        <f>K323-M323+N323</f>
        <v>360</v>
      </c>
      <c r="P323" t="s">
        <v>43</v>
      </c>
      <c r="Q323" t="b">
        <v>1</v>
      </c>
      <c r="R323" t="s">
        <v>55</v>
      </c>
      <c r="S323" t="s">
        <v>45</v>
      </c>
      <c r="T323" t="s">
        <v>46</v>
      </c>
      <c r="U323" t="s">
        <v>70</v>
      </c>
      <c r="V323" t="s">
        <v>38</v>
      </c>
      <c r="W323" t="s">
        <v>710</v>
      </c>
      <c r="X323" t="s">
        <v>72</v>
      </c>
      <c r="Y323">
        <v>9007199254741311</v>
      </c>
      <c r="Z323">
        <v>0</v>
      </c>
      <c r="AA323" t="s">
        <v>38</v>
      </c>
      <c r="AB323" t="b">
        <v>0</v>
      </c>
      <c r="AD323" s="3">
        <v>0.125</v>
      </c>
      <c r="AE323" s="2">
        <v>45912.5</v>
      </c>
      <c r="AF323" t="s">
        <v>60</v>
      </c>
    </row>
    <row r="324">
      <c r="A324" t="s">
        <v>711</v>
      </c>
      <c r="B324" s="2">
        <v>45911.5</v>
      </c>
      <c r="C324" t="s">
        <v>49</v>
      </c>
      <c r="D324" t="s">
        <f>'客户档案'!B4</f>
        <v>50</v>
      </c>
      <c r="E324" t="s">
        <v>74</v>
      </c>
      <c r="F324" t="s">
        <v>75</v>
      </c>
      <c r="G324" t="s">
        <f>'商品目录'!B6</f>
        <v>76</v>
      </c>
      <c r="H324" t="s">
        <v>77</v>
      </c>
      <c r="I324">
        <v>10</v>
      </c>
      <c r="J324" s="4">
        <v>8</v>
      </c>
      <c r="K324" s="4">
        <f>I324*J324</f>
        <v>80</v>
      </c>
      <c r="L324" s="3">
        <v>0.5</v>
      </c>
      <c r="M324" s="4">
        <f>K324*L324</f>
        <v>40</v>
      </c>
      <c r="N324" s="4">
        <v>10</v>
      </c>
      <c r="O324" s="4">
        <f>K324-M324+N324</f>
        <v>50</v>
      </c>
      <c r="P324" t="s">
        <v>43</v>
      </c>
      <c r="Q324" t="b">
        <v>1</v>
      </c>
      <c r="R324" t="s">
        <v>55</v>
      </c>
      <c r="S324" t="s">
        <v>56</v>
      </c>
      <c r="T324" t="s">
        <v>57</v>
      </c>
      <c r="U324" t="s">
        <v>78</v>
      </c>
      <c r="V324" t="s">
        <v>50</v>
      </c>
      <c r="W324" t="s">
        <v>712</v>
      </c>
      <c r="X324" t="s">
        <v>80</v>
      </c>
      <c r="Y324">
        <v>9007199254741312</v>
      </c>
      <c r="Z324">
        <v>0</v>
      </c>
      <c r="AA324" t="s">
        <v>50</v>
      </c>
      <c r="AB324" t="b">
        <v>1</v>
      </c>
      <c r="AD324" s="3">
        <v>0.125</v>
      </c>
      <c r="AE324" s="2">
        <v>45913.5</v>
      </c>
      <c r="AF324" t="s">
        <v>60</v>
      </c>
    </row>
    <row r="325">
      <c r="A325" t="s">
        <v>713</v>
      </c>
      <c r="B325" s="2">
        <v>45912.5</v>
      </c>
      <c r="C325" t="s">
        <v>62</v>
      </c>
      <c r="D325" t="s">
        <f>'客户档案'!B5</f>
        <v>63</v>
      </c>
      <c r="E325" t="s">
        <v>39</v>
      </c>
      <c r="F325" t="s">
        <v>40</v>
      </c>
      <c r="G325" t="s">
        <f>'商品目录'!B3</f>
        <v>41</v>
      </c>
      <c r="H325" t="s">
        <v>42</v>
      </c>
      <c r="I325">
        <v>2</v>
      </c>
      <c r="J325" s="4">
        <v>99</v>
      </c>
      <c r="K325" s="4">
        <f>I325*J325</f>
        <v>198</v>
      </c>
      <c r="L325" s="3">
        <v>0</v>
      </c>
      <c r="M325" s="4">
        <f>K325*L325</f>
        <v>0</v>
      </c>
      <c r="N325" s="4">
        <v>20</v>
      </c>
      <c r="O325" s="4">
        <f>K325-M325+N325</f>
        <v>218</v>
      </c>
      <c r="P325" t="s">
        <v>43</v>
      </c>
      <c r="Q325" t="b">
        <v>0</v>
      </c>
      <c r="R325" t="s">
        <v>44</v>
      </c>
      <c r="S325" t="s">
        <v>68</v>
      </c>
      <c r="T325" t="s">
        <v>69</v>
      </c>
      <c r="U325" t="s">
        <v>39</v>
      </c>
      <c r="V325" t="s">
        <v>63</v>
      </c>
      <c r="W325" t="s">
        <v>714</v>
      </c>
      <c r="X325" t="s">
        <v>0</v>
      </c>
      <c r="Y325">
        <v>9007199254741313</v>
      </c>
      <c r="Z325">
        <v>0</v>
      </c>
      <c r="AA325" t="s">
        <v>63</v>
      </c>
      <c r="AB325" t="b">
        <v>0</v>
      </c>
      <c r="AD325" s="3">
        <v>0.125</v>
      </c>
      <c r="AE325" s="2">
        <v>45914.5</v>
      </c>
      <c r="AF325" t="s">
        <v>60</v>
      </c>
    </row>
    <row r="326">
      <c r="A326" t="s">
        <v>715</v>
      </c>
      <c r="B326" s="2">
        <v>45913.5</v>
      </c>
      <c r="C326" t="s">
        <v>37</v>
      </c>
      <c r="D326" t="s">
        <f>'客户档案'!B3</f>
        <v>38</v>
      </c>
      <c r="E326" t="s">
        <v>51</v>
      </c>
      <c r="F326" t="s">
        <v>52</v>
      </c>
      <c r="G326" t="s">
        <f>'商品目录'!B4</f>
        <v>53</v>
      </c>
      <c r="H326" t="s">
        <v>54</v>
      </c>
      <c r="I326">
        <v>4</v>
      </c>
      <c r="J326" s="4">
        <v>129</v>
      </c>
      <c r="K326" s="4">
        <f>I326*J326</f>
        <v>516</v>
      </c>
      <c r="L326" s="3">
        <v>0.5</v>
      </c>
      <c r="M326" s="4">
        <f>K326*L326</f>
        <v>258</v>
      </c>
      <c r="N326" s="4">
        <v>0</v>
      </c>
      <c r="O326" s="4">
        <f>K326-M326+N326</f>
        <v>258</v>
      </c>
      <c r="P326" t="s">
        <v>43</v>
      </c>
      <c r="Q326" t="b">
        <v>1</v>
      </c>
      <c r="R326" t="s">
        <v>55</v>
      </c>
      <c r="S326" t="s">
        <v>45</v>
      </c>
      <c r="T326" t="s">
        <v>46</v>
      </c>
      <c r="U326" t="s">
        <v>51</v>
      </c>
      <c r="V326" t="s">
        <v>38</v>
      </c>
      <c r="W326" t="s">
        <v>716</v>
      </c>
      <c r="X326" t="s">
        <v>59</v>
      </c>
      <c r="Y326">
        <v>9007199254741314</v>
      </c>
      <c r="Z326">
        <v>0</v>
      </c>
      <c r="AA326" t="s">
        <v>38</v>
      </c>
      <c r="AB326" t="b">
        <v>1</v>
      </c>
      <c r="AD326" s="3">
        <v>0.125</v>
      </c>
      <c r="AE326" s="2">
        <v>45915.5</v>
      </c>
      <c r="AF326" t="s">
        <v>60</v>
      </c>
    </row>
    <row r="327">
      <c r="A327" t="s">
        <v>717</v>
      </c>
      <c r="B327" s="2">
        <v>45914.5</v>
      </c>
      <c r="C327" t="s">
        <v>49</v>
      </c>
      <c r="D327" t="s">
        <f>'客户档案'!B4</f>
        <v>50</v>
      </c>
      <c r="E327" t="s">
        <v>64</v>
      </c>
      <c r="F327" t="s">
        <v>65</v>
      </c>
      <c r="G327" t="s">
        <f>'商品目录'!B5</f>
        <v>66</v>
      </c>
      <c r="H327" t="s">
        <v>67</v>
      </c>
      <c r="I327">
        <v>6</v>
      </c>
      <c r="J327" s="4">
        <v>45</v>
      </c>
      <c r="K327" s="4">
        <f>I327*J327</f>
        <v>270</v>
      </c>
      <c r="L327" s="3">
        <v>0</v>
      </c>
      <c r="M327" s="4">
        <f>K327*L327</f>
        <v>0</v>
      </c>
      <c r="N327" s="4">
        <v>10</v>
      </c>
      <c r="O327" s="4">
        <f>K327-M327+N327</f>
        <v>280</v>
      </c>
      <c r="P327" t="s">
        <v>43</v>
      </c>
      <c r="Q327" t="b">
        <v>1</v>
      </c>
      <c r="R327" t="s">
        <v>55</v>
      </c>
      <c r="S327" t="s">
        <v>56</v>
      </c>
      <c r="T327" t="s">
        <v>57</v>
      </c>
      <c r="U327" t="s">
        <v>70</v>
      </c>
      <c r="V327" t="s">
        <v>50</v>
      </c>
      <c r="W327" t="s">
        <v>718</v>
      </c>
      <c r="X327" t="s">
        <v>72</v>
      </c>
      <c r="Y327">
        <v>9007199254741315</v>
      </c>
      <c r="Z327">
        <v>0</v>
      </c>
      <c r="AA327" t="s">
        <v>50</v>
      </c>
      <c r="AB327" t="b">
        <v>0</v>
      </c>
      <c r="AD327" s="3">
        <v>0.125</v>
      </c>
      <c r="AE327" s="2">
        <v>45916.5</v>
      </c>
      <c r="AF327" t="s">
        <v>60</v>
      </c>
    </row>
    <row r="328">
      <c r="A328" t="s">
        <v>719</v>
      </c>
      <c r="B328" s="2">
        <v>45915.5</v>
      </c>
      <c r="C328" t="s">
        <v>62</v>
      </c>
      <c r="D328" t="s">
        <f>'客户档案'!B5</f>
        <v>63</v>
      </c>
      <c r="E328" t="s">
        <v>74</v>
      </c>
      <c r="F328" t="s">
        <v>75</v>
      </c>
      <c r="G328" t="s">
        <f>'商品目录'!B6</f>
        <v>76</v>
      </c>
      <c r="H328" t="s">
        <v>77</v>
      </c>
      <c r="I328">
        <v>8</v>
      </c>
      <c r="J328" s="4">
        <v>8</v>
      </c>
      <c r="K328" s="4">
        <f>I328*J328</f>
        <v>64</v>
      </c>
      <c r="L328" s="3">
        <v>0.5</v>
      </c>
      <c r="M328" s="4">
        <f>K328*L328</f>
        <v>32</v>
      </c>
      <c r="N328" s="4">
        <v>20</v>
      </c>
      <c r="O328" s="4">
        <f>K328-M328+N328</f>
        <v>52</v>
      </c>
      <c r="P328" t="s">
        <v>43</v>
      </c>
      <c r="Q328" t="b">
        <v>1</v>
      </c>
      <c r="R328" t="s">
        <v>55</v>
      </c>
      <c r="S328" t="s">
        <v>68</v>
      </c>
      <c r="T328" t="s">
        <v>69</v>
      </c>
      <c r="U328" t="s">
        <v>78</v>
      </c>
      <c r="V328" t="s">
        <v>63</v>
      </c>
      <c r="W328" t="s">
        <v>720</v>
      </c>
      <c r="X328" t="s">
        <v>80</v>
      </c>
      <c r="Y328">
        <v>9007199254741316</v>
      </c>
      <c r="Z328">
        <v>2</v>
      </c>
      <c r="AA328" t="s">
        <v>63</v>
      </c>
      <c r="AB328" t="b">
        <v>1</v>
      </c>
      <c r="AD328" s="3">
        <v>0.125</v>
      </c>
      <c r="AE328" s="2">
        <v>45917.5</v>
      </c>
      <c r="AF328" t="s">
        <v>60</v>
      </c>
    </row>
    <row r="329">
      <c r="A329" t="s">
        <v>721</v>
      </c>
      <c r="B329" s="2">
        <v>45916.5</v>
      </c>
      <c r="C329" t="s">
        <v>37</v>
      </c>
      <c r="D329" t="s">
        <f>'客户档案'!B3</f>
        <v>38</v>
      </c>
      <c r="E329" t="s">
        <v>39</v>
      </c>
      <c r="F329" t="s">
        <v>40</v>
      </c>
      <c r="G329" t="s">
        <f>'商品目录'!B3</f>
        <v>41</v>
      </c>
      <c r="H329" t="s">
        <v>42</v>
      </c>
      <c r="I329">
        <v>10</v>
      </c>
      <c r="J329" s="4">
        <v>99</v>
      </c>
      <c r="K329" s="4">
        <f>I329*J329</f>
        <v>990</v>
      </c>
      <c r="L329" s="3">
        <v>0</v>
      </c>
      <c r="M329" s="4">
        <f>K329*L329</f>
        <v>0</v>
      </c>
      <c r="N329" s="4">
        <v>0</v>
      </c>
      <c r="O329" s="4">
        <f>K329-M329+N329</f>
        <v>990</v>
      </c>
      <c r="P329" t="s">
        <v>43</v>
      </c>
      <c r="Q329" t="b">
        <v>0</v>
      </c>
      <c r="R329" t="s">
        <v>44</v>
      </c>
      <c r="S329" t="s">
        <v>45</v>
      </c>
      <c r="T329" t="s">
        <v>46</v>
      </c>
      <c r="U329" t="s">
        <v>39</v>
      </c>
      <c r="V329" t="s">
        <v>38</v>
      </c>
      <c r="W329" t="s">
        <v>722</v>
      </c>
      <c r="X329" t="s">
        <v>0</v>
      </c>
      <c r="Y329">
        <v>9007199254741317</v>
      </c>
      <c r="Z329">
        <v>0</v>
      </c>
      <c r="AA329" t="s">
        <v>38</v>
      </c>
      <c r="AB329" t="b">
        <v>0</v>
      </c>
      <c r="AD329" s="3">
        <v>0.125</v>
      </c>
      <c r="AE329" s="2">
        <v>45918.5</v>
      </c>
      <c r="AF329" t="s">
        <v>60</v>
      </c>
    </row>
    <row r="330">
      <c r="A330" t="s">
        <v>723</v>
      </c>
      <c r="B330" s="2">
        <v>45917.5</v>
      </c>
      <c r="C330" t="s">
        <v>49</v>
      </c>
      <c r="D330" t="s">
        <f>'客户档案'!B4</f>
        <v>50</v>
      </c>
      <c r="E330" t="s">
        <v>51</v>
      </c>
      <c r="F330" t="s">
        <v>52</v>
      </c>
      <c r="G330" t="s">
        <f>'商品目录'!B4</f>
        <v>53</v>
      </c>
      <c r="H330" t="s">
        <v>54</v>
      </c>
      <c r="I330">
        <v>2</v>
      </c>
      <c r="J330" s="4">
        <v>129</v>
      </c>
      <c r="K330" s="4">
        <f>I330*J330</f>
        <v>258</v>
      </c>
      <c r="L330" s="3">
        <v>0.5</v>
      </c>
      <c r="M330" s="4">
        <f>K330*L330</f>
        <v>129</v>
      </c>
      <c r="N330" s="4">
        <v>10</v>
      </c>
      <c r="O330" s="4">
        <f>K330-M330+N330</f>
        <v>139</v>
      </c>
      <c r="P330" t="s">
        <v>43</v>
      </c>
      <c r="Q330" t="b">
        <v>1</v>
      </c>
      <c r="R330" t="s">
        <v>55</v>
      </c>
      <c r="S330" t="s">
        <v>56</v>
      </c>
      <c r="T330" t="s">
        <v>57</v>
      </c>
      <c r="U330" t="s">
        <v>51</v>
      </c>
      <c r="V330" t="s">
        <v>50</v>
      </c>
      <c r="W330" t="s">
        <v>724</v>
      </c>
      <c r="X330" t="s">
        <v>59</v>
      </c>
      <c r="Y330">
        <v>9007199254741318</v>
      </c>
      <c r="Z330">
        <v>0</v>
      </c>
      <c r="AA330" t="s">
        <v>50</v>
      </c>
      <c r="AB330" t="b">
        <v>1</v>
      </c>
      <c r="AD330" s="3">
        <v>0.125</v>
      </c>
      <c r="AE330" s="2">
        <v>45919.5</v>
      </c>
      <c r="AF330" t="s">
        <v>60</v>
      </c>
    </row>
    <row r="331">
      <c r="A331" t="s">
        <v>725</v>
      </c>
      <c r="B331" s="2">
        <v>45918.5</v>
      </c>
      <c r="C331" t="s">
        <v>62</v>
      </c>
      <c r="D331" t="s">
        <f>'客户档案'!B5</f>
        <v>63</v>
      </c>
      <c r="E331" t="s">
        <v>64</v>
      </c>
      <c r="F331" t="s">
        <v>65</v>
      </c>
      <c r="G331" t="s">
        <f>'商品目录'!B5</f>
        <v>66</v>
      </c>
      <c r="H331" t="s">
        <v>67</v>
      </c>
      <c r="I331">
        <v>4</v>
      </c>
      <c r="J331" s="4">
        <v>45</v>
      </c>
      <c r="K331" s="4">
        <f>I331*J331</f>
        <v>180</v>
      </c>
      <c r="L331" s="3">
        <v>0</v>
      </c>
      <c r="M331" s="4">
        <f>K331*L331</f>
        <v>0</v>
      </c>
      <c r="N331" s="4">
        <v>20</v>
      </c>
      <c r="O331" s="4">
        <f>K331-M331+N331</f>
        <v>200</v>
      </c>
      <c r="P331" t="s">
        <v>43</v>
      </c>
      <c r="Q331" t="b">
        <v>1</v>
      </c>
      <c r="R331" t="s">
        <v>55</v>
      </c>
      <c r="S331" t="s">
        <v>68</v>
      </c>
      <c r="T331" t="s">
        <v>69</v>
      </c>
      <c r="U331" t="s">
        <v>70</v>
      </c>
      <c r="V331" t="s">
        <v>63</v>
      </c>
      <c r="W331" t="s">
        <v>726</v>
      </c>
      <c r="X331" t="s">
        <v>72</v>
      </c>
      <c r="Y331">
        <v>9007199254741319</v>
      </c>
      <c r="Z331">
        <v>0</v>
      </c>
      <c r="AA331" t="s">
        <v>63</v>
      </c>
      <c r="AB331" t="b">
        <v>0</v>
      </c>
      <c r="AD331" s="3">
        <v>0.125</v>
      </c>
      <c r="AE331" s="2">
        <v>45920.5</v>
      </c>
      <c r="AF331" t="s">
        <v>60</v>
      </c>
    </row>
    <row r="332">
      <c r="A332" t="s">
        <v>727</v>
      </c>
      <c r="B332" s="2">
        <v>45919.5</v>
      </c>
      <c r="C332" t="s">
        <v>37</v>
      </c>
      <c r="D332" t="s">
        <f>'客户档案'!B3</f>
        <v>38</v>
      </c>
      <c r="E332" t="s">
        <v>74</v>
      </c>
      <c r="F332" t="s">
        <v>75</v>
      </c>
      <c r="G332" t="s">
        <f>'商品目录'!B6</f>
        <v>76</v>
      </c>
      <c r="H332" t="s">
        <v>77</v>
      </c>
      <c r="I332">
        <v>6</v>
      </c>
      <c r="J332" s="4">
        <v>8</v>
      </c>
      <c r="K332" s="4">
        <f>I332*J332</f>
        <v>48</v>
      </c>
      <c r="L332" s="3">
        <v>0.5</v>
      </c>
      <c r="M332" s="4">
        <f>K332*L332</f>
        <v>24</v>
      </c>
      <c r="N332" s="4">
        <v>0</v>
      </c>
      <c r="O332" s="4">
        <f>K332-M332+N332</f>
        <v>24</v>
      </c>
      <c r="P332" t="s">
        <v>43</v>
      </c>
      <c r="Q332" t="b">
        <v>1</v>
      </c>
      <c r="R332" t="s">
        <v>55</v>
      </c>
      <c r="S332" t="s">
        <v>45</v>
      </c>
      <c r="T332" t="s">
        <v>46</v>
      </c>
      <c r="U332" t="s">
        <v>78</v>
      </c>
      <c r="V332" t="s">
        <v>38</v>
      </c>
      <c r="W332" t="s">
        <v>728</v>
      </c>
      <c r="X332" t="s">
        <v>80</v>
      </c>
      <c r="Y332">
        <v>9007199254741320</v>
      </c>
      <c r="Z332">
        <v>0</v>
      </c>
      <c r="AA332" t="s">
        <v>38</v>
      </c>
      <c r="AB332" t="b">
        <v>1</v>
      </c>
      <c r="AD332" s="3">
        <v>0.125</v>
      </c>
      <c r="AE332" s="2">
        <v>45921.5</v>
      </c>
      <c r="AF332" t="s">
        <v>60</v>
      </c>
    </row>
    <row r="333">
      <c r="A333" t="s">
        <v>729</v>
      </c>
      <c r="B333" s="2">
        <v>45920.5</v>
      </c>
      <c r="C333" t="s">
        <v>49</v>
      </c>
      <c r="D333" t="s">
        <f>'客户档案'!B4</f>
        <v>50</v>
      </c>
      <c r="E333" t="s">
        <v>39</v>
      </c>
      <c r="F333" t="s">
        <v>40</v>
      </c>
      <c r="G333" t="s">
        <f>'商品目录'!B3</f>
        <v>41</v>
      </c>
      <c r="H333" t="s">
        <v>42</v>
      </c>
      <c r="I333">
        <v>8</v>
      </c>
      <c r="J333" s="4">
        <v>99</v>
      </c>
      <c r="K333" s="4">
        <f>I333*J333</f>
        <v>792</v>
      </c>
      <c r="L333" s="3">
        <v>0</v>
      </c>
      <c r="M333" s="4">
        <f>K333*L333</f>
        <v>0</v>
      </c>
      <c r="N333" s="4">
        <v>10</v>
      </c>
      <c r="O333" s="4">
        <f>K333-M333+N333</f>
        <v>802</v>
      </c>
      <c r="P333" t="s">
        <v>43</v>
      </c>
      <c r="Q333" t="b">
        <v>0</v>
      </c>
      <c r="R333" t="s">
        <v>44</v>
      </c>
      <c r="S333" t="s">
        <v>56</v>
      </c>
      <c r="T333" t="s">
        <v>57</v>
      </c>
      <c r="U333" t="s">
        <v>39</v>
      </c>
      <c r="V333" t="s">
        <v>50</v>
      </c>
      <c r="W333" t="s">
        <v>730</v>
      </c>
      <c r="X333" t="s">
        <v>0</v>
      </c>
      <c r="Y333">
        <v>9007199254741321</v>
      </c>
      <c r="Z333">
        <v>0</v>
      </c>
      <c r="AA333" t="s">
        <v>50</v>
      </c>
      <c r="AB333" t="b">
        <v>0</v>
      </c>
      <c r="AD333" s="3">
        <v>0.125</v>
      </c>
      <c r="AE333" s="2">
        <v>45922.5</v>
      </c>
      <c r="AF333" t="s">
        <v>60</v>
      </c>
    </row>
    <row r="334">
      <c r="A334" t="s">
        <v>731</v>
      </c>
      <c r="B334" s="2">
        <v>45921.5</v>
      </c>
      <c r="C334" t="s">
        <v>62</v>
      </c>
      <c r="D334" t="s">
        <f>'客户档案'!B5</f>
        <v>63</v>
      </c>
      <c r="E334" t="s">
        <v>51</v>
      </c>
      <c r="F334" t="s">
        <v>52</v>
      </c>
      <c r="G334" t="s">
        <f>'商品目录'!B4</f>
        <v>53</v>
      </c>
      <c r="H334" t="s">
        <v>54</v>
      </c>
      <c r="I334">
        <v>10</v>
      </c>
      <c r="J334" s="4">
        <v>129</v>
      </c>
      <c r="K334" s="4">
        <f>I334*J334</f>
        <v>1290</v>
      </c>
      <c r="L334" s="3">
        <v>0.5</v>
      </c>
      <c r="M334" s="4">
        <f>K334*L334</f>
        <v>645</v>
      </c>
      <c r="N334" s="4">
        <v>20</v>
      </c>
      <c r="O334" s="4">
        <f>K334-M334+N334</f>
        <v>665</v>
      </c>
      <c r="P334" t="s">
        <v>43</v>
      </c>
      <c r="Q334" t="b">
        <v>1</v>
      </c>
      <c r="R334" t="s">
        <v>55</v>
      </c>
      <c r="S334" t="s">
        <v>68</v>
      </c>
      <c r="T334" t="s">
        <v>69</v>
      </c>
      <c r="U334" t="s">
        <v>51</v>
      </c>
      <c r="V334" t="s">
        <v>63</v>
      </c>
      <c r="W334" t="s">
        <v>732</v>
      </c>
      <c r="X334" t="s">
        <v>59</v>
      </c>
      <c r="Y334">
        <v>9007199254741322</v>
      </c>
      <c r="Z334">
        <v>0</v>
      </c>
      <c r="AA334" t="s">
        <v>63</v>
      </c>
      <c r="AB334" t="b">
        <v>1</v>
      </c>
      <c r="AD334" s="3">
        <v>0.125</v>
      </c>
      <c r="AE334" s="2">
        <v>45923.5</v>
      </c>
      <c r="AF334" t="s">
        <v>60</v>
      </c>
    </row>
    <row r="335">
      <c r="A335" t="s">
        <v>733</v>
      </c>
      <c r="B335" s="2">
        <v>45922.5</v>
      </c>
      <c r="C335" t="s">
        <v>37</v>
      </c>
      <c r="D335" t="s">
        <f>'客户档案'!B3</f>
        <v>38</v>
      </c>
      <c r="E335" t="s">
        <v>64</v>
      </c>
      <c r="F335" t="s">
        <v>65</v>
      </c>
      <c r="G335" t="s">
        <f>'商品目录'!B5</f>
        <v>66</v>
      </c>
      <c r="H335" t="s">
        <v>67</v>
      </c>
      <c r="I335">
        <v>2</v>
      </c>
      <c r="J335" s="4">
        <v>45</v>
      </c>
      <c r="K335" s="4">
        <f>I335*J335</f>
        <v>90</v>
      </c>
      <c r="L335" s="3">
        <v>0</v>
      </c>
      <c r="M335" s="4">
        <f>K335*L335</f>
        <v>0</v>
      </c>
      <c r="N335" s="4">
        <v>0</v>
      </c>
      <c r="O335" s="4">
        <f>K335-M335+N335</f>
        <v>90</v>
      </c>
      <c r="P335" t="s">
        <v>43</v>
      </c>
      <c r="Q335" t="b">
        <v>1</v>
      </c>
      <c r="R335" t="s">
        <v>55</v>
      </c>
      <c r="S335" t="s">
        <v>45</v>
      </c>
      <c r="T335" t="s">
        <v>46</v>
      </c>
      <c r="U335" t="s">
        <v>70</v>
      </c>
      <c r="V335" t="s">
        <v>38</v>
      </c>
      <c r="W335" t="s">
        <v>734</v>
      </c>
      <c r="X335" t="s">
        <v>72</v>
      </c>
      <c r="Y335">
        <v>9007199254741323</v>
      </c>
      <c r="Z335">
        <v>0</v>
      </c>
      <c r="AA335" t="s">
        <v>38</v>
      </c>
      <c r="AB335" t="b">
        <v>0</v>
      </c>
      <c r="AD335" s="3">
        <v>0.125</v>
      </c>
      <c r="AE335" s="2">
        <v>45924.5</v>
      </c>
      <c r="AF335" t="s">
        <v>60</v>
      </c>
    </row>
    <row r="336">
      <c r="A336" t="s">
        <v>735</v>
      </c>
      <c r="B336" s="2">
        <v>45923.5</v>
      </c>
      <c r="C336" t="s">
        <v>49</v>
      </c>
      <c r="D336" t="s">
        <f>'客户档案'!B4</f>
        <v>50</v>
      </c>
      <c r="E336" t="s">
        <v>74</v>
      </c>
      <c r="F336" t="s">
        <v>75</v>
      </c>
      <c r="G336" t="s">
        <f>'商品目录'!B6</f>
        <v>76</v>
      </c>
      <c r="H336" t="s">
        <v>77</v>
      </c>
      <c r="I336">
        <v>4</v>
      </c>
      <c r="J336" s="4">
        <v>8</v>
      </c>
      <c r="K336" s="4">
        <f>I336*J336</f>
        <v>32</v>
      </c>
      <c r="L336" s="3">
        <v>0.5</v>
      </c>
      <c r="M336" s="4">
        <f>K336*L336</f>
        <v>16</v>
      </c>
      <c r="N336" s="4">
        <v>10</v>
      </c>
      <c r="O336" s="4">
        <f>K336-M336+N336</f>
        <v>26</v>
      </c>
      <c r="P336" t="s">
        <v>43</v>
      </c>
      <c r="Q336" t="b">
        <v>1</v>
      </c>
      <c r="R336" t="s">
        <v>55</v>
      </c>
      <c r="S336" t="s">
        <v>56</v>
      </c>
      <c r="T336" t="s">
        <v>57</v>
      </c>
      <c r="U336" t="s">
        <v>78</v>
      </c>
      <c r="V336" t="s">
        <v>50</v>
      </c>
      <c r="W336" t="s">
        <v>736</v>
      </c>
      <c r="X336" t="s">
        <v>80</v>
      </c>
      <c r="Y336">
        <v>9007199254741324</v>
      </c>
      <c r="Z336">
        <v>0</v>
      </c>
      <c r="AA336" t="s">
        <v>50</v>
      </c>
      <c r="AB336" t="b">
        <v>1</v>
      </c>
      <c r="AD336" s="3">
        <v>0.125</v>
      </c>
      <c r="AE336" s="2">
        <v>45925.5</v>
      </c>
      <c r="AF336" t="s">
        <v>60</v>
      </c>
    </row>
    <row r="337">
      <c r="A337" t="s">
        <v>737</v>
      </c>
      <c r="B337" s="2">
        <v>45924.5</v>
      </c>
      <c r="C337" t="s">
        <v>62</v>
      </c>
      <c r="D337" t="s">
        <f>'客户档案'!B5</f>
        <v>63</v>
      </c>
      <c r="E337" t="s">
        <v>39</v>
      </c>
      <c r="F337" t="s">
        <v>40</v>
      </c>
      <c r="G337" t="s">
        <f>'商品目录'!B3</f>
        <v>41</v>
      </c>
      <c r="H337" t="s">
        <v>42</v>
      </c>
      <c r="I337">
        <v>6</v>
      </c>
      <c r="J337" s="4">
        <v>99</v>
      </c>
      <c r="K337" s="4">
        <f>I337*J337</f>
        <v>594</v>
      </c>
      <c r="L337" s="3">
        <v>0</v>
      </c>
      <c r="M337" s="4">
        <f>K337*L337</f>
        <v>0</v>
      </c>
      <c r="N337" s="4">
        <v>20</v>
      </c>
      <c r="O337" s="4">
        <f>K337-M337+N337</f>
        <v>614</v>
      </c>
      <c r="P337" t="s">
        <v>43</v>
      </c>
      <c r="Q337" t="b">
        <v>0</v>
      </c>
      <c r="R337" t="s">
        <v>44</v>
      </c>
      <c r="S337" t="s">
        <v>68</v>
      </c>
      <c r="T337" t="s">
        <v>69</v>
      </c>
      <c r="U337" t="s">
        <v>39</v>
      </c>
      <c r="V337" t="s">
        <v>63</v>
      </c>
      <c r="W337" t="s">
        <v>738</v>
      </c>
      <c r="X337" t="s">
        <v>0</v>
      </c>
      <c r="Y337">
        <v>9007199254741325</v>
      </c>
      <c r="Z337">
        <v>0</v>
      </c>
      <c r="AA337" t="s">
        <v>63</v>
      </c>
      <c r="AB337" t="b">
        <v>0</v>
      </c>
      <c r="AD337" s="3">
        <v>0.125</v>
      </c>
      <c r="AE337" s="2">
        <v>45926.5</v>
      </c>
      <c r="AF337" t="s">
        <v>60</v>
      </c>
    </row>
    <row r="338">
      <c r="A338" t="s">
        <v>739</v>
      </c>
      <c r="B338" s="2">
        <v>45925.5</v>
      </c>
      <c r="C338" t="s">
        <v>37</v>
      </c>
      <c r="D338" t="s">
        <f>'客户档案'!B3</f>
        <v>38</v>
      </c>
      <c r="E338" t="s">
        <v>51</v>
      </c>
      <c r="F338" t="s">
        <v>52</v>
      </c>
      <c r="G338" t="s">
        <f>'商品目录'!B4</f>
        <v>53</v>
      </c>
      <c r="H338" t="s">
        <v>54</v>
      </c>
      <c r="I338">
        <v>8</v>
      </c>
      <c r="J338" s="4">
        <v>129</v>
      </c>
      <c r="K338" s="4">
        <f>I338*J338</f>
        <v>1032</v>
      </c>
      <c r="L338" s="3">
        <v>0.5</v>
      </c>
      <c r="M338" s="4">
        <f>K338*L338</f>
        <v>516</v>
      </c>
      <c r="N338" s="4">
        <v>0</v>
      </c>
      <c r="O338" s="4">
        <f>K338-M338+N338</f>
        <v>516</v>
      </c>
      <c r="P338" t="s">
        <v>43</v>
      </c>
      <c r="Q338" t="b">
        <v>1</v>
      </c>
      <c r="R338" t="s">
        <v>55</v>
      </c>
      <c r="S338" t="s">
        <v>45</v>
      </c>
      <c r="T338" t="s">
        <v>46</v>
      </c>
      <c r="U338" t="s">
        <v>51</v>
      </c>
      <c r="V338" t="s">
        <v>38</v>
      </c>
      <c r="W338" t="s">
        <v>740</v>
      </c>
      <c r="X338" t="s">
        <v>59</v>
      </c>
      <c r="Y338">
        <v>9007199254741326</v>
      </c>
      <c r="Z338">
        <v>0</v>
      </c>
      <c r="AA338" t="s">
        <v>38</v>
      </c>
      <c r="AB338" t="b">
        <v>1</v>
      </c>
      <c r="AD338" s="3">
        <v>0.125</v>
      </c>
      <c r="AE338" s="2">
        <v>45927.5</v>
      </c>
      <c r="AF338" t="s">
        <v>60</v>
      </c>
    </row>
    <row r="339">
      <c r="A339" t="s">
        <v>741</v>
      </c>
      <c r="B339" s="2">
        <v>45926.5</v>
      </c>
      <c r="C339" t="s">
        <v>49</v>
      </c>
      <c r="D339" t="s">
        <f>'客户档案'!B4</f>
        <v>50</v>
      </c>
      <c r="E339" t="s">
        <v>64</v>
      </c>
      <c r="F339" t="s">
        <v>65</v>
      </c>
      <c r="G339" t="s">
        <f>'商品目录'!B5</f>
        <v>66</v>
      </c>
      <c r="H339" t="s">
        <v>67</v>
      </c>
      <c r="I339">
        <v>10</v>
      </c>
      <c r="J339" s="4">
        <v>45</v>
      </c>
      <c r="K339" s="4">
        <f>I339*J339</f>
        <v>450</v>
      </c>
      <c r="L339" s="3">
        <v>0</v>
      </c>
      <c r="M339" s="4">
        <f>K339*L339</f>
        <v>0</v>
      </c>
      <c r="N339" s="4">
        <v>10</v>
      </c>
      <c r="O339" s="4">
        <f>K339-M339+N339</f>
        <v>460</v>
      </c>
      <c r="P339" t="s">
        <v>43</v>
      </c>
      <c r="Q339" t="b">
        <v>1</v>
      </c>
      <c r="R339" t="s">
        <v>55</v>
      </c>
      <c r="S339" t="s">
        <v>56</v>
      </c>
      <c r="T339" t="s">
        <v>57</v>
      </c>
      <c r="U339" t="s">
        <v>70</v>
      </c>
      <c r="V339" t="s">
        <v>50</v>
      </c>
      <c r="W339" t="s">
        <v>742</v>
      </c>
      <c r="X339" t="s">
        <v>72</v>
      </c>
      <c r="Y339">
        <v>9007199254741327</v>
      </c>
      <c r="Z339">
        <v>0</v>
      </c>
      <c r="AA339" t="s">
        <v>50</v>
      </c>
      <c r="AB339" t="b">
        <v>0</v>
      </c>
      <c r="AD339" s="3">
        <v>0.125</v>
      </c>
      <c r="AE339" s="2">
        <v>45928.5</v>
      </c>
      <c r="AF339" t="s">
        <v>60</v>
      </c>
    </row>
    <row r="340">
      <c r="A340" t="s">
        <v>743</v>
      </c>
      <c r="B340" s="2">
        <v>45927.5</v>
      </c>
      <c r="C340" t="s">
        <v>62</v>
      </c>
      <c r="D340" t="s">
        <f>'客户档案'!B5</f>
        <v>63</v>
      </c>
      <c r="E340" t="s">
        <v>74</v>
      </c>
      <c r="F340" t="s">
        <v>75</v>
      </c>
      <c r="G340" t="s">
        <f>'商品目录'!B6</f>
        <v>76</v>
      </c>
      <c r="H340" t="s">
        <v>77</v>
      </c>
      <c r="I340">
        <v>2</v>
      </c>
      <c r="J340" s="4">
        <v>8</v>
      </c>
      <c r="K340" s="4">
        <f>I340*J340</f>
        <v>16</v>
      </c>
      <c r="L340" s="3">
        <v>0.5</v>
      </c>
      <c r="M340" s="4">
        <f>K340*L340</f>
        <v>8</v>
      </c>
      <c r="N340" s="4">
        <v>20</v>
      </c>
      <c r="O340" s="4">
        <f>K340-M340+N340</f>
        <v>28</v>
      </c>
      <c r="P340" t="s">
        <v>43</v>
      </c>
      <c r="Q340" t="b">
        <v>1</v>
      </c>
      <c r="R340" t="s">
        <v>55</v>
      </c>
      <c r="S340" t="s">
        <v>68</v>
      </c>
      <c r="T340" t="s">
        <v>69</v>
      </c>
      <c r="U340" t="s">
        <v>78</v>
      </c>
      <c r="V340" t="s">
        <v>63</v>
      </c>
      <c r="W340" t="s">
        <v>744</v>
      </c>
      <c r="X340" t="s">
        <v>80</v>
      </c>
      <c r="Y340">
        <v>9007199254741328</v>
      </c>
      <c r="Z340">
        <v>0</v>
      </c>
      <c r="AA340" t="s">
        <v>63</v>
      </c>
      <c r="AB340" t="b">
        <v>1</v>
      </c>
      <c r="AD340" s="3">
        <v>0.125</v>
      </c>
      <c r="AE340" s="2">
        <v>45929.5</v>
      </c>
      <c r="AF340" t="s">
        <v>60</v>
      </c>
    </row>
    <row r="341">
      <c r="A341" t="s">
        <v>745</v>
      </c>
      <c r="B341" s="2">
        <v>45900.5</v>
      </c>
      <c r="C341" t="s">
        <v>37</v>
      </c>
      <c r="D341" t="s">
        <f>'客户档案'!B3</f>
        <v>38</v>
      </c>
      <c r="E341" t="s">
        <v>39</v>
      </c>
      <c r="F341" t="s">
        <v>40</v>
      </c>
      <c r="G341" t="s">
        <f>'商品目录'!B3</f>
        <v>41</v>
      </c>
      <c r="H341" t="s">
        <v>42</v>
      </c>
      <c r="I341">
        <v>4</v>
      </c>
      <c r="J341" s="4">
        <v>99</v>
      </c>
      <c r="K341" s="4">
        <f>I341*J341</f>
        <v>396</v>
      </c>
      <c r="L341" s="3">
        <v>0</v>
      </c>
      <c r="M341" s="4">
        <f>K341*L341</f>
        <v>0</v>
      </c>
      <c r="N341" s="4">
        <v>0</v>
      </c>
      <c r="O341" s="4">
        <f>K341-M341+N341</f>
        <v>396</v>
      </c>
      <c r="P341" t="s">
        <v>43</v>
      </c>
      <c r="Q341" t="b">
        <v>0</v>
      </c>
      <c r="R341" t="s">
        <v>44</v>
      </c>
      <c r="S341" t="s">
        <v>45</v>
      </c>
      <c r="T341" t="s">
        <v>46</v>
      </c>
      <c r="U341" t="s">
        <v>39</v>
      </c>
      <c r="V341" t="s">
        <v>38</v>
      </c>
      <c r="W341" t="s">
        <v>746</v>
      </c>
      <c r="X341" t="s">
        <v>0</v>
      </c>
      <c r="Y341">
        <v>9007199254741329</v>
      </c>
      <c r="Z341">
        <v>0</v>
      </c>
      <c r="AA341" t="s">
        <v>38</v>
      </c>
      <c r="AB341" t="b">
        <v>0</v>
      </c>
      <c r="AD341" s="3">
        <v>0.125</v>
      </c>
      <c r="AE341" s="2">
        <v>45902.5</v>
      </c>
      <c r="AF341" t="s">
        <v>60</v>
      </c>
    </row>
    <row r="342">
      <c r="A342" t="s">
        <v>747</v>
      </c>
      <c r="B342" s="2">
        <v>45901.5</v>
      </c>
      <c r="C342" t="s">
        <v>49</v>
      </c>
      <c r="D342" t="s">
        <f>'客户档案'!B4</f>
        <v>50</v>
      </c>
      <c r="E342" t="s">
        <v>51</v>
      </c>
      <c r="F342" t="s">
        <v>52</v>
      </c>
      <c r="G342" t="s">
        <f>'商品目录'!B4</f>
        <v>53</v>
      </c>
      <c r="H342" t="s">
        <v>54</v>
      </c>
      <c r="I342">
        <v>6</v>
      </c>
      <c r="J342" s="4">
        <v>129</v>
      </c>
      <c r="K342" s="4">
        <f>I342*J342</f>
        <v>774</v>
      </c>
      <c r="L342" s="3">
        <v>0.5</v>
      </c>
      <c r="M342" s="4">
        <f>K342*L342</f>
        <v>387</v>
      </c>
      <c r="N342" s="4">
        <v>10</v>
      </c>
      <c r="O342" s="4">
        <f>K342-M342+N342</f>
        <v>397</v>
      </c>
      <c r="P342" t="s">
        <v>43</v>
      </c>
      <c r="Q342" t="b">
        <v>1</v>
      </c>
      <c r="R342" t="s">
        <v>55</v>
      </c>
      <c r="S342" t="s">
        <v>56</v>
      </c>
      <c r="T342" t="s">
        <v>57</v>
      </c>
      <c r="U342" t="s">
        <v>51</v>
      </c>
      <c r="V342" t="s">
        <v>50</v>
      </c>
      <c r="W342" t="s">
        <v>748</v>
      </c>
      <c r="X342" t="s">
        <v>59</v>
      </c>
      <c r="Y342">
        <v>9007199254741330</v>
      </c>
      <c r="Z342">
        <v>0</v>
      </c>
      <c r="AA342" t="s">
        <v>50</v>
      </c>
      <c r="AB342" t="b">
        <v>1</v>
      </c>
      <c r="AD342" s="3">
        <v>0.125</v>
      </c>
      <c r="AE342" s="2">
        <v>45903.5</v>
      </c>
      <c r="AF342" t="s">
        <v>60</v>
      </c>
    </row>
    <row r="343">
      <c r="A343" t="s">
        <v>749</v>
      </c>
      <c r="B343" s="2">
        <v>45902.5</v>
      </c>
      <c r="C343" t="s">
        <v>62</v>
      </c>
      <c r="D343" t="s">
        <f>'客户档案'!B5</f>
        <v>63</v>
      </c>
      <c r="E343" t="s">
        <v>64</v>
      </c>
      <c r="F343" t="s">
        <v>65</v>
      </c>
      <c r="G343" t="s">
        <f>'商品目录'!B5</f>
        <v>66</v>
      </c>
      <c r="H343" t="s">
        <v>67</v>
      </c>
      <c r="I343">
        <v>8</v>
      </c>
      <c r="J343" s="4">
        <v>45</v>
      </c>
      <c r="K343" s="4">
        <f>I343*J343</f>
        <v>360</v>
      </c>
      <c r="L343" s="3">
        <v>0</v>
      </c>
      <c r="M343" s="4">
        <f>K343*L343</f>
        <v>0</v>
      </c>
      <c r="N343" s="4">
        <v>20</v>
      </c>
      <c r="O343" s="4">
        <f>K343-M343+N343</f>
        <v>380</v>
      </c>
      <c r="P343" t="s">
        <v>43</v>
      </c>
      <c r="Q343" t="b">
        <v>1</v>
      </c>
      <c r="R343" t="s">
        <v>55</v>
      </c>
      <c r="S343" t="s">
        <v>68</v>
      </c>
      <c r="T343" t="s">
        <v>69</v>
      </c>
      <c r="U343" t="s">
        <v>70</v>
      </c>
      <c r="V343" t="s">
        <v>63</v>
      </c>
      <c r="W343" t="s">
        <v>750</v>
      </c>
      <c r="X343" t="s">
        <v>72</v>
      </c>
      <c r="Y343">
        <v>9007199254741331</v>
      </c>
      <c r="Z343">
        <v>0</v>
      </c>
      <c r="AA343" t="s">
        <v>63</v>
      </c>
      <c r="AB343" t="b">
        <v>0</v>
      </c>
      <c r="AD343" s="3">
        <v>0.125</v>
      </c>
      <c r="AE343" s="2">
        <v>45904.5</v>
      </c>
      <c r="AF343" t="s">
        <v>60</v>
      </c>
    </row>
    <row r="344">
      <c r="A344" t="s">
        <v>751</v>
      </c>
      <c r="B344" s="2">
        <v>45903.5</v>
      </c>
      <c r="C344" t="s">
        <v>37</v>
      </c>
      <c r="D344" t="s">
        <f>'客户档案'!B3</f>
        <v>38</v>
      </c>
      <c r="E344" t="s">
        <v>74</v>
      </c>
      <c r="F344" t="s">
        <v>75</v>
      </c>
      <c r="G344" t="s">
        <f>'商品目录'!B6</f>
        <v>76</v>
      </c>
      <c r="H344" t="s">
        <v>77</v>
      </c>
      <c r="I344">
        <v>10</v>
      </c>
      <c r="J344" s="4">
        <v>8</v>
      </c>
      <c r="K344" s="4">
        <f>I344*J344</f>
        <v>80</v>
      </c>
      <c r="L344" s="3">
        <v>0.5</v>
      </c>
      <c r="M344" s="4">
        <f>K344*L344</f>
        <v>40</v>
      </c>
      <c r="N344" s="4">
        <v>0</v>
      </c>
      <c r="O344" s="4">
        <f>K344-M344+N344</f>
        <v>40</v>
      </c>
      <c r="P344" t="s">
        <v>43</v>
      </c>
      <c r="Q344" t="b">
        <v>1</v>
      </c>
      <c r="R344" t="s">
        <v>55</v>
      </c>
      <c r="S344" t="s">
        <v>45</v>
      </c>
      <c r="T344" t="s">
        <v>46</v>
      </c>
      <c r="U344" t="s">
        <v>78</v>
      </c>
      <c r="V344" t="s">
        <v>38</v>
      </c>
      <c r="W344" t="s">
        <v>752</v>
      </c>
      <c r="X344" t="s">
        <v>80</v>
      </c>
      <c r="Y344">
        <v>9007199254741332</v>
      </c>
      <c r="Z344">
        <v>0</v>
      </c>
      <c r="AA344" t="s">
        <v>38</v>
      </c>
      <c r="AB344" t="b">
        <v>1</v>
      </c>
      <c r="AD344" s="3">
        <v>0.125</v>
      </c>
      <c r="AE344" s="2">
        <v>45905.5</v>
      </c>
      <c r="AF344" t="s">
        <v>60</v>
      </c>
    </row>
    <row r="345">
      <c r="A345" t="s">
        <v>753</v>
      </c>
      <c r="B345" s="2">
        <v>45904.5</v>
      </c>
      <c r="C345" t="s">
        <v>49</v>
      </c>
      <c r="D345" t="s">
        <f>'客户档案'!B4</f>
        <v>50</v>
      </c>
      <c r="E345" t="s">
        <v>39</v>
      </c>
      <c r="F345" t="s">
        <v>40</v>
      </c>
      <c r="G345" t="s">
        <f>'商品目录'!B3</f>
        <v>41</v>
      </c>
      <c r="H345" t="s">
        <v>42</v>
      </c>
      <c r="I345">
        <v>2</v>
      </c>
      <c r="J345" s="4">
        <v>99</v>
      </c>
      <c r="K345" s="4">
        <f>I345*J345</f>
        <v>198</v>
      </c>
      <c r="L345" s="3">
        <v>0</v>
      </c>
      <c r="M345" s="4">
        <f>K345*L345</f>
        <v>0</v>
      </c>
      <c r="N345" s="4">
        <v>10</v>
      </c>
      <c r="O345" s="4">
        <f>K345-M345+N345</f>
        <v>208</v>
      </c>
      <c r="P345" t="s">
        <v>43</v>
      </c>
      <c r="Q345" t="b">
        <v>0</v>
      </c>
      <c r="R345" t="s">
        <v>44</v>
      </c>
      <c r="S345" t="s">
        <v>56</v>
      </c>
      <c r="T345" t="s">
        <v>57</v>
      </c>
      <c r="U345" t="s">
        <v>39</v>
      </c>
      <c r="V345" t="s">
        <v>50</v>
      </c>
      <c r="W345" t="s">
        <v>754</v>
      </c>
      <c r="X345" t="s">
        <v>0</v>
      </c>
      <c r="Y345">
        <v>9007199254741333</v>
      </c>
      <c r="Z345">
        <v>2</v>
      </c>
      <c r="AA345" t="s">
        <v>50</v>
      </c>
      <c r="AB345" t="b">
        <v>0</v>
      </c>
      <c r="AD345" s="3">
        <v>0.125</v>
      </c>
      <c r="AE345" s="2">
        <v>45906.5</v>
      </c>
      <c r="AF345" t="s">
        <v>60</v>
      </c>
    </row>
    <row r="346">
      <c r="A346" t="s">
        <v>755</v>
      </c>
      <c r="B346" s="2">
        <v>45905.5</v>
      </c>
      <c r="C346" t="s">
        <v>62</v>
      </c>
      <c r="D346" t="s">
        <f>'客户档案'!B5</f>
        <v>63</v>
      </c>
      <c r="E346" t="s">
        <v>51</v>
      </c>
      <c r="F346" t="s">
        <v>52</v>
      </c>
      <c r="G346" t="s">
        <f>'商品目录'!B4</f>
        <v>53</v>
      </c>
      <c r="H346" t="s">
        <v>54</v>
      </c>
      <c r="I346">
        <v>4</v>
      </c>
      <c r="J346" s="4">
        <v>129</v>
      </c>
      <c r="K346" s="4">
        <f>I346*J346</f>
        <v>516</v>
      </c>
      <c r="L346" s="3">
        <v>0.5</v>
      </c>
      <c r="M346" s="4">
        <f>K346*L346</f>
        <v>258</v>
      </c>
      <c r="N346" s="4">
        <v>20</v>
      </c>
      <c r="O346" s="4">
        <f>K346-M346+N346</f>
        <v>278</v>
      </c>
      <c r="P346" t="s">
        <v>43</v>
      </c>
      <c r="Q346" t="b">
        <v>1</v>
      </c>
      <c r="R346" t="s">
        <v>55</v>
      </c>
      <c r="S346" t="s">
        <v>68</v>
      </c>
      <c r="T346" t="s">
        <v>69</v>
      </c>
      <c r="U346" t="s">
        <v>51</v>
      </c>
      <c r="V346" t="s">
        <v>63</v>
      </c>
      <c r="W346" t="s">
        <v>756</v>
      </c>
      <c r="X346" t="s">
        <v>59</v>
      </c>
      <c r="Y346">
        <v>9007199254741334</v>
      </c>
      <c r="Z346">
        <v>0</v>
      </c>
      <c r="AA346" t="s">
        <v>63</v>
      </c>
      <c r="AB346" t="b">
        <v>1</v>
      </c>
      <c r="AD346" s="3">
        <v>0.125</v>
      </c>
      <c r="AE346" s="2">
        <v>45907.5</v>
      </c>
      <c r="AF346" t="s">
        <v>60</v>
      </c>
    </row>
    <row r="347">
      <c r="A347" t="s">
        <v>757</v>
      </c>
      <c r="B347" s="2">
        <v>45906.5</v>
      </c>
      <c r="C347" t="s">
        <v>37</v>
      </c>
      <c r="D347" t="s">
        <f>'客户档案'!B3</f>
        <v>38</v>
      </c>
      <c r="E347" t="s">
        <v>64</v>
      </c>
      <c r="F347" t="s">
        <v>65</v>
      </c>
      <c r="G347" t="s">
        <f>'商品目录'!B5</f>
        <v>66</v>
      </c>
      <c r="H347" t="s">
        <v>67</v>
      </c>
      <c r="I347">
        <v>6</v>
      </c>
      <c r="J347" s="4">
        <v>45</v>
      </c>
      <c r="K347" s="4">
        <f>I347*J347</f>
        <v>270</v>
      </c>
      <c r="L347" s="3">
        <v>0</v>
      </c>
      <c r="M347" s="4">
        <f>K347*L347</f>
        <v>0</v>
      </c>
      <c r="N347" s="4">
        <v>0</v>
      </c>
      <c r="O347" s="4">
        <f>K347-M347+N347</f>
        <v>270</v>
      </c>
      <c r="P347" t="s">
        <v>43</v>
      </c>
      <c r="Q347" t="b">
        <v>1</v>
      </c>
      <c r="R347" t="s">
        <v>55</v>
      </c>
      <c r="S347" t="s">
        <v>45</v>
      </c>
      <c r="T347" t="s">
        <v>46</v>
      </c>
      <c r="U347" t="s">
        <v>70</v>
      </c>
      <c r="V347" t="s">
        <v>38</v>
      </c>
      <c r="W347" t="s">
        <v>758</v>
      </c>
      <c r="X347" t="s">
        <v>72</v>
      </c>
      <c r="Y347">
        <v>9007199254741335</v>
      </c>
      <c r="Z347">
        <v>0</v>
      </c>
      <c r="AA347" t="s">
        <v>38</v>
      </c>
      <c r="AB347" t="b">
        <v>0</v>
      </c>
      <c r="AD347" s="3">
        <v>0.125</v>
      </c>
      <c r="AE347" s="2">
        <v>45908.5</v>
      </c>
      <c r="AF347" t="s">
        <v>60</v>
      </c>
    </row>
    <row r="348">
      <c r="A348" t="s">
        <v>759</v>
      </c>
      <c r="B348" s="2">
        <v>45907.5</v>
      </c>
      <c r="C348" t="s">
        <v>49</v>
      </c>
      <c r="D348" t="s">
        <f>'客户档案'!B4</f>
        <v>50</v>
      </c>
      <c r="E348" t="s">
        <v>74</v>
      </c>
      <c r="F348" t="s">
        <v>75</v>
      </c>
      <c r="G348" t="s">
        <f>'商品目录'!B6</f>
        <v>76</v>
      </c>
      <c r="H348" t="s">
        <v>77</v>
      </c>
      <c r="I348">
        <v>8</v>
      </c>
      <c r="J348" s="4">
        <v>8</v>
      </c>
      <c r="K348" s="4">
        <f>I348*J348</f>
        <v>64</v>
      </c>
      <c r="L348" s="3">
        <v>0.5</v>
      </c>
      <c r="M348" s="4">
        <f>K348*L348</f>
        <v>32</v>
      </c>
      <c r="N348" s="4">
        <v>10</v>
      </c>
      <c r="O348" s="4">
        <f>K348-M348+N348</f>
        <v>42</v>
      </c>
      <c r="P348" t="s">
        <v>43</v>
      </c>
      <c r="Q348" t="b">
        <v>1</v>
      </c>
      <c r="R348" t="s">
        <v>55</v>
      </c>
      <c r="S348" t="s">
        <v>56</v>
      </c>
      <c r="T348" t="s">
        <v>57</v>
      </c>
      <c r="U348" t="s">
        <v>78</v>
      </c>
      <c r="V348" t="s">
        <v>50</v>
      </c>
      <c r="W348" t="s">
        <v>760</v>
      </c>
      <c r="X348" t="s">
        <v>80</v>
      </c>
      <c r="Y348">
        <v>9007199254741336</v>
      </c>
      <c r="Z348">
        <v>0</v>
      </c>
      <c r="AA348" t="s">
        <v>50</v>
      </c>
      <c r="AB348" t="b">
        <v>1</v>
      </c>
      <c r="AD348" s="3">
        <v>0.125</v>
      </c>
      <c r="AE348" s="2">
        <v>45909.5</v>
      </c>
      <c r="AF348" t="s">
        <v>60</v>
      </c>
    </row>
    <row r="349">
      <c r="A349" t="s">
        <v>761</v>
      </c>
      <c r="B349" s="2">
        <v>45908.5</v>
      </c>
      <c r="C349" t="s">
        <v>62</v>
      </c>
      <c r="D349" t="s">
        <f>'客户档案'!B5</f>
        <v>63</v>
      </c>
      <c r="E349" t="s">
        <v>39</v>
      </c>
      <c r="F349" t="s">
        <v>40</v>
      </c>
      <c r="G349" t="s">
        <f>'商品目录'!B3</f>
        <v>41</v>
      </c>
      <c r="H349" t="s">
        <v>42</v>
      </c>
      <c r="I349">
        <v>10</v>
      </c>
      <c r="J349" s="4">
        <v>99</v>
      </c>
      <c r="K349" s="4">
        <f>I349*J349</f>
        <v>990</v>
      </c>
      <c r="L349" s="3">
        <v>0</v>
      </c>
      <c r="M349" s="4">
        <f>K349*L349</f>
        <v>0</v>
      </c>
      <c r="N349" s="4">
        <v>20</v>
      </c>
      <c r="O349" s="4">
        <f>K349-M349+N349</f>
        <v>1010</v>
      </c>
      <c r="P349" t="s">
        <v>43</v>
      </c>
      <c r="Q349" t="b">
        <v>0</v>
      </c>
      <c r="R349" t="s">
        <v>44</v>
      </c>
      <c r="S349" t="s">
        <v>68</v>
      </c>
      <c r="T349" t="s">
        <v>69</v>
      </c>
      <c r="U349" t="s">
        <v>39</v>
      </c>
      <c r="V349" t="s">
        <v>63</v>
      </c>
      <c r="W349" t="s">
        <v>762</v>
      </c>
      <c r="X349" t="s">
        <v>0</v>
      </c>
      <c r="Y349">
        <v>9007199254741337</v>
      </c>
      <c r="Z349">
        <v>0</v>
      </c>
      <c r="AA349" t="s">
        <v>63</v>
      </c>
      <c r="AB349" t="b">
        <v>0</v>
      </c>
      <c r="AD349" s="3">
        <v>0.125</v>
      </c>
      <c r="AE349" s="2">
        <v>45910.5</v>
      </c>
      <c r="AF349" t="s">
        <v>60</v>
      </c>
    </row>
    <row r="350">
      <c r="A350" t="s">
        <v>763</v>
      </c>
      <c r="B350" s="2">
        <v>45909.5</v>
      </c>
      <c r="C350" t="s">
        <v>37</v>
      </c>
      <c r="D350" t="s">
        <f>'客户档案'!B3</f>
        <v>38</v>
      </c>
      <c r="E350" t="s">
        <v>51</v>
      </c>
      <c r="F350" t="s">
        <v>52</v>
      </c>
      <c r="G350" t="s">
        <f>'商品目录'!B4</f>
        <v>53</v>
      </c>
      <c r="H350" t="s">
        <v>54</v>
      </c>
      <c r="I350">
        <v>2</v>
      </c>
      <c r="J350" s="4">
        <v>129</v>
      </c>
      <c r="K350" s="4">
        <f>I350*J350</f>
        <v>258</v>
      </c>
      <c r="L350" s="3">
        <v>0.5</v>
      </c>
      <c r="M350" s="4">
        <f>K350*L350</f>
        <v>129</v>
      </c>
      <c r="N350" s="4">
        <v>0</v>
      </c>
      <c r="O350" s="4">
        <f>K350-M350+N350</f>
        <v>129</v>
      </c>
      <c r="P350" t="s">
        <v>43</v>
      </c>
      <c r="Q350" t="b">
        <v>1</v>
      </c>
      <c r="R350" t="s">
        <v>55</v>
      </c>
      <c r="S350" t="s">
        <v>45</v>
      </c>
      <c r="T350" t="s">
        <v>46</v>
      </c>
      <c r="U350" t="s">
        <v>51</v>
      </c>
      <c r="V350" t="s">
        <v>38</v>
      </c>
      <c r="W350" t="s">
        <v>764</v>
      </c>
      <c r="X350" t="s">
        <v>59</v>
      </c>
      <c r="Y350">
        <v>9007199254741338</v>
      </c>
      <c r="Z350">
        <v>0</v>
      </c>
      <c r="AA350" t="s">
        <v>38</v>
      </c>
      <c r="AB350" t="b">
        <v>1</v>
      </c>
      <c r="AD350" s="3">
        <v>0.125</v>
      </c>
      <c r="AE350" s="2">
        <v>45911.5</v>
      </c>
      <c r="AF350" t="s">
        <v>60</v>
      </c>
    </row>
    <row r="351">
      <c r="A351" t="s">
        <v>765</v>
      </c>
      <c r="B351" s="2">
        <v>45910.5</v>
      </c>
      <c r="C351" t="s">
        <v>49</v>
      </c>
      <c r="D351" t="s">
        <f>'客户档案'!B4</f>
        <v>50</v>
      </c>
      <c r="E351" t="s">
        <v>64</v>
      </c>
      <c r="F351" t="s">
        <v>65</v>
      </c>
      <c r="G351" t="s">
        <f>'商品目录'!B5</f>
        <v>66</v>
      </c>
      <c r="H351" t="s">
        <v>67</v>
      </c>
      <c r="I351">
        <v>4</v>
      </c>
      <c r="J351" s="4">
        <v>45</v>
      </c>
      <c r="K351" s="4">
        <f>I351*J351</f>
        <v>180</v>
      </c>
      <c r="L351" s="3">
        <v>0</v>
      </c>
      <c r="M351" s="4">
        <f>K351*L351</f>
        <v>0</v>
      </c>
      <c r="N351" s="4">
        <v>10</v>
      </c>
      <c r="O351" s="4">
        <f>K351-M351+N351</f>
        <v>190</v>
      </c>
      <c r="P351" t="s">
        <v>43</v>
      </c>
      <c r="Q351" t="b">
        <v>1</v>
      </c>
      <c r="R351" t="s">
        <v>55</v>
      </c>
      <c r="S351" t="s">
        <v>56</v>
      </c>
      <c r="T351" t="s">
        <v>57</v>
      </c>
      <c r="U351" t="s">
        <v>70</v>
      </c>
      <c r="V351" t="s">
        <v>50</v>
      </c>
      <c r="W351" t="s">
        <v>766</v>
      </c>
      <c r="X351" t="s">
        <v>72</v>
      </c>
      <c r="Y351">
        <v>9007199254741339</v>
      </c>
      <c r="Z351">
        <v>0</v>
      </c>
      <c r="AA351" t="s">
        <v>50</v>
      </c>
      <c r="AB351" t="b">
        <v>0</v>
      </c>
      <c r="AD351" s="3">
        <v>0.125</v>
      </c>
      <c r="AE351" s="2">
        <v>45912.5</v>
      </c>
      <c r="AF351" t="s">
        <v>60</v>
      </c>
    </row>
    <row r="352">
      <c r="A352" t="s">
        <v>767</v>
      </c>
      <c r="B352" s="2">
        <v>45911.5</v>
      </c>
      <c r="C352" t="s">
        <v>62</v>
      </c>
      <c r="D352" t="s">
        <f>'客户档案'!B5</f>
        <v>63</v>
      </c>
      <c r="E352" t="s">
        <v>74</v>
      </c>
      <c r="F352" t="s">
        <v>75</v>
      </c>
      <c r="G352" t="s">
        <f>'商品目录'!B6</f>
        <v>76</v>
      </c>
      <c r="H352" t="s">
        <v>77</v>
      </c>
      <c r="I352">
        <v>6</v>
      </c>
      <c r="J352" s="4">
        <v>8</v>
      </c>
      <c r="K352" s="4">
        <f>I352*J352</f>
        <v>48</v>
      </c>
      <c r="L352" s="3">
        <v>0.5</v>
      </c>
      <c r="M352" s="4">
        <f>K352*L352</f>
        <v>24</v>
      </c>
      <c r="N352" s="4">
        <v>20</v>
      </c>
      <c r="O352" s="4">
        <f>K352-M352+N352</f>
        <v>44</v>
      </c>
      <c r="P352" t="s">
        <v>43</v>
      </c>
      <c r="Q352" t="b">
        <v>1</v>
      </c>
      <c r="R352" t="s">
        <v>55</v>
      </c>
      <c r="S352" t="s">
        <v>68</v>
      </c>
      <c r="T352" t="s">
        <v>69</v>
      </c>
      <c r="U352" t="s">
        <v>78</v>
      </c>
      <c r="V352" t="s">
        <v>63</v>
      </c>
      <c r="W352" t="s">
        <v>768</v>
      </c>
      <c r="X352" t="s">
        <v>80</v>
      </c>
      <c r="Y352">
        <v>9007199254741340</v>
      </c>
      <c r="Z352">
        <v>0</v>
      </c>
      <c r="AA352" t="s">
        <v>63</v>
      </c>
      <c r="AB352" t="b">
        <v>1</v>
      </c>
      <c r="AD352" s="3">
        <v>0.125</v>
      </c>
      <c r="AE352" s="2">
        <v>45913.5</v>
      </c>
      <c r="AF352" t="s">
        <v>60</v>
      </c>
    </row>
    <row r="353">
      <c r="A353" t="s">
        <v>769</v>
      </c>
      <c r="B353" s="2">
        <v>45912.5</v>
      </c>
      <c r="C353" t="s">
        <v>37</v>
      </c>
      <c r="D353" t="s">
        <f>'客户档案'!B3</f>
        <v>38</v>
      </c>
      <c r="E353" t="s">
        <v>39</v>
      </c>
      <c r="F353" t="s">
        <v>40</v>
      </c>
      <c r="G353" t="s">
        <f>'商品目录'!B3</f>
        <v>41</v>
      </c>
      <c r="H353" t="s">
        <v>42</v>
      </c>
      <c r="I353">
        <v>8</v>
      </c>
      <c r="J353" s="4">
        <v>99</v>
      </c>
      <c r="K353" s="4">
        <f>I353*J353</f>
        <v>792</v>
      </c>
      <c r="L353" s="3">
        <v>0</v>
      </c>
      <c r="M353" s="4">
        <f>K353*L353</f>
        <v>0</v>
      </c>
      <c r="N353" s="4">
        <v>0</v>
      </c>
      <c r="O353" s="4">
        <f>K353-M353+N353</f>
        <v>792</v>
      </c>
      <c r="P353" t="s">
        <v>43</v>
      </c>
      <c r="Q353" t="b">
        <v>0</v>
      </c>
      <c r="R353" t="s">
        <v>44</v>
      </c>
      <c r="S353" t="s">
        <v>45</v>
      </c>
      <c r="T353" t="s">
        <v>46</v>
      </c>
      <c r="U353" t="s">
        <v>39</v>
      </c>
      <c r="V353" t="s">
        <v>38</v>
      </c>
      <c r="W353" t="s">
        <v>770</v>
      </c>
      <c r="X353" t="s">
        <v>0</v>
      </c>
      <c r="Y353">
        <v>9007199254741341</v>
      </c>
      <c r="Z353">
        <v>0</v>
      </c>
      <c r="AA353" t="s">
        <v>38</v>
      </c>
      <c r="AB353" t="b">
        <v>0</v>
      </c>
      <c r="AD353" s="3">
        <v>0.125</v>
      </c>
      <c r="AE353" s="2">
        <v>45914.5</v>
      </c>
      <c r="AF353" t="s">
        <v>60</v>
      </c>
    </row>
    <row r="354">
      <c r="A354" t="s">
        <v>771</v>
      </c>
      <c r="B354" s="2">
        <v>45913.5</v>
      </c>
      <c r="C354" t="s">
        <v>49</v>
      </c>
      <c r="D354" t="s">
        <f>'客户档案'!B4</f>
        <v>50</v>
      </c>
      <c r="E354" t="s">
        <v>51</v>
      </c>
      <c r="F354" t="s">
        <v>52</v>
      </c>
      <c r="G354" t="s">
        <f>'商品目录'!B4</f>
        <v>53</v>
      </c>
      <c r="H354" t="s">
        <v>54</v>
      </c>
      <c r="I354">
        <v>10</v>
      </c>
      <c r="J354" s="4">
        <v>129</v>
      </c>
      <c r="K354" s="4">
        <f>I354*J354</f>
        <v>1290</v>
      </c>
      <c r="L354" s="3">
        <v>0.5</v>
      </c>
      <c r="M354" s="4">
        <f>K354*L354</f>
        <v>645</v>
      </c>
      <c r="N354" s="4">
        <v>10</v>
      </c>
      <c r="O354" s="4">
        <f>K354-M354+N354</f>
        <v>655</v>
      </c>
      <c r="P354" t="s">
        <v>43</v>
      </c>
      <c r="Q354" t="b">
        <v>1</v>
      </c>
      <c r="R354" t="s">
        <v>55</v>
      </c>
      <c r="S354" t="s">
        <v>56</v>
      </c>
      <c r="T354" t="s">
        <v>57</v>
      </c>
      <c r="U354" t="s">
        <v>51</v>
      </c>
      <c r="V354" t="s">
        <v>50</v>
      </c>
      <c r="W354" t="s">
        <v>772</v>
      </c>
      <c r="X354" t="s">
        <v>59</v>
      </c>
      <c r="Y354">
        <v>9007199254741342</v>
      </c>
      <c r="Z354">
        <v>0</v>
      </c>
      <c r="AA354" t="s">
        <v>50</v>
      </c>
      <c r="AB354" t="b">
        <v>1</v>
      </c>
      <c r="AD354" s="3">
        <v>0.125</v>
      </c>
      <c r="AE354" s="2">
        <v>45915.5</v>
      </c>
      <c r="AF354" t="s">
        <v>60</v>
      </c>
    </row>
    <row r="355">
      <c r="A355" t="s">
        <v>773</v>
      </c>
      <c r="B355" s="2">
        <v>45914.5</v>
      </c>
      <c r="C355" t="s">
        <v>62</v>
      </c>
      <c r="D355" t="s">
        <f>'客户档案'!B5</f>
        <v>63</v>
      </c>
      <c r="E355" t="s">
        <v>64</v>
      </c>
      <c r="F355" t="s">
        <v>65</v>
      </c>
      <c r="G355" t="s">
        <f>'商品目录'!B5</f>
        <v>66</v>
      </c>
      <c r="H355" t="s">
        <v>67</v>
      </c>
      <c r="I355">
        <v>2</v>
      </c>
      <c r="J355" s="4">
        <v>45</v>
      </c>
      <c r="K355" s="4">
        <f>I355*J355</f>
        <v>90</v>
      </c>
      <c r="L355" s="3">
        <v>0</v>
      </c>
      <c r="M355" s="4">
        <f>K355*L355</f>
        <v>0</v>
      </c>
      <c r="N355" s="4">
        <v>20</v>
      </c>
      <c r="O355" s="4">
        <f>K355-M355+N355</f>
        <v>110</v>
      </c>
      <c r="P355" t="s">
        <v>43</v>
      </c>
      <c r="Q355" t="b">
        <v>1</v>
      </c>
      <c r="R355" t="s">
        <v>55</v>
      </c>
      <c r="S355" t="s">
        <v>68</v>
      </c>
      <c r="T355" t="s">
        <v>69</v>
      </c>
      <c r="U355" t="s">
        <v>70</v>
      </c>
      <c r="V355" t="s">
        <v>63</v>
      </c>
      <c r="W355" t="s">
        <v>774</v>
      </c>
      <c r="X355" t="s">
        <v>72</v>
      </c>
      <c r="Y355">
        <v>9007199254741343</v>
      </c>
      <c r="Z355">
        <v>0</v>
      </c>
      <c r="AA355" t="s">
        <v>63</v>
      </c>
      <c r="AB355" t="b">
        <v>0</v>
      </c>
      <c r="AD355" s="3">
        <v>0.125</v>
      </c>
      <c r="AE355" s="2">
        <v>45916.5</v>
      </c>
      <c r="AF355" t="s">
        <v>60</v>
      </c>
    </row>
    <row r="356">
      <c r="A356" t="s">
        <v>775</v>
      </c>
      <c r="B356" s="2">
        <v>45915.5</v>
      </c>
      <c r="C356" t="s">
        <v>37</v>
      </c>
      <c r="D356" t="s">
        <f>'客户档案'!B3</f>
        <v>38</v>
      </c>
      <c r="E356" t="s">
        <v>74</v>
      </c>
      <c r="F356" t="s">
        <v>75</v>
      </c>
      <c r="G356" t="s">
        <f>'商品目录'!B6</f>
        <v>76</v>
      </c>
      <c r="H356" t="s">
        <v>77</v>
      </c>
      <c r="I356">
        <v>4</v>
      </c>
      <c r="J356" s="4">
        <v>8</v>
      </c>
      <c r="K356" s="4">
        <f>I356*J356</f>
        <v>32</v>
      </c>
      <c r="L356" s="3">
        <v>0.5</v>
      </c>
      <c r="M356" s="4">
        <f>K356*L356</f>
        <v>16</v>
      </c>
      <c r="N356" s="4">
        <v>0</v>
      </c>
      <c r="O356" s="4">
        <f>K356-M356+N356</f>
        <v>16</v>
      </c>
      <c r="P356" t="s">
        <v>43</v>
      </c>
      <c r="Q356" t="b">
        <v>1</v>
      </c>
      <c r="R356" t="s">
        <v>55</v>
      </c>
      <c r="S356" t="s">
        <v>45</v>
      </c>
      <c r="T356" t="s">
        <v>46</v>
      </c>
      <c r="U356" t="s">
        <v>78</v>
      </c>
      <c r="V356" t="s">
        <v>38</v>
      </c>
      <c r="W356" t="s">
        <v>776</v>
      </c>
      <c r="X356" t="s">
        <v>80</v>
      </c>
      <c r="Y356">
        <v>9007199254741344</v>
      </c>
      <c r="Z356">
        <v>0</v>
      </c>
      <c r="AA356" t="s">
        <v>38</v>
      </c>
      <c r="AB356" t="b">
        <v>1</v>
      </c>
      <c r="AD356" s="3">
        <v>0.125</v>
      </c>
      <c r="AE356" s="2">
        <v>45917.5</v>
      </c>
      <c r="AF356" t="s">
        <v>60</v>
      </c>
    </row>
    <row r="357">
      <c r="A357" t="s">
        <v>777</v>
      </c>
      <c r="B357" s="2">
        <v>45916.5</v>
      </c>
      <c r="C357" t="s">
        <v>49</v>
      </c>
      <c r="D357" t="s">
        <f>'客户档案'!B4</f>
        <v>50</v>
      </c>
      <c r="E357" t="s">
        <v>39</v>
      </c>
      <c r="F357" t="s">
        <v>40</v>
      </c>
      <c r="G357" t="s">
        <f>'商品目录'!B3</f>
        <v>41</v>
      </c>
      <c r="H357" t="s">
        <v>42</v>
      </c>
      <c r="I357">
        <v>6</v>
      </c>
      <c r="J357" s="4">
        <v>99</v>
      </c>
      <c r="K357" s="4">
        <f>I357*J357</f>
        <v>594</v>
      </c>
      <c r="L357" s="3">
        <v>0</v>
      </c>
      <c r="M357" s="4">
        <f>K357*L357</f>
        <v>0</v>
      </c>
      <c r="N357" s="4">
        <v>10</v>
      </c>
      <c r="O357" s="4">
        <f>K357-M357+N357</f>
        <v>604</v>
      </c>
      <c r="P357" t="s">
        <v>43</v>
      </c>
      <c r="Q357" t="b">
        <v>0</v>
      </c>
      <c r="R357" t="s">
        <v>44</v>
      </c>
      <c r="S357" t="s">
        <v>56</v>
      </c>
      <c r="T357" t="s">
        <v>57</v>
      </c>
      <c r="U357" t="s">
        <v>39</v>
      </c>
      <c r="V357" t="s">
        <v>50</v>
      </c>
      <c r="W357" t="s">
        <v>778</v>
      </c>
      <c r="X357" t="s">
        <v>0</v>
      </c>
      <c r="Y357">
        <v>9007199254741345</v>
      </c>
      <c r="Z357">
        <v>0</v>
      </c>
      <c r="AA357" t="s">
        <v>50</v>
      </c>
      <c r="AB357" t="b">
        <v>0</v>
      </c>
      <c r="AD357" s="3">
        <v>0.125</v>
      </c>
      <c r="AE357" s="2">
        <v>45918.5</v>
      </c>
      <c r="AF357" t="s">
        <v>60</v>
      </c>
    </row>
    <row r="358">
      <c r="A358" t="s">
        <v>779</v>
      </c>
      <c r="B358" s="2">
        <v>45917.5</v>
      </c>
      <c r="C358" t="s">
        <v>62</v>
      </c>
      <c r="D358" t="s">
        <f>'客户档案'!B5</f>
        <v>63</v>
      </c>
      <c r="E358" t="s">
        <v>51</v>
      </c>
      <c r="F358" t="s">
        <v>52</v>
      </c>
      <c r="G358" t="s">
        <f>'商品目录'!B4</f>
        <v>53</v>
      </c>
      <c r="H358" t="s">
        <v>54</v>
      </c>
      <c r="I358">
        <v>8</v>
      </c>
      <c r="J358" s="4">
        <v>129</v>
      </c>
      <c r="K358" s="4">
        <f>I358*J358</f>
        <v>1032</v>
      </c>
      <c r="L358" s="3">
        <v>0.5</v>
      </c>
      <c r="M358" s="4">
        <f>K358*L358</f>
        <v>516</v>
      </c>
      <c r="N358" s="4">
        <v>20</v>
      </c>
      <c r="O358" s="4">
        <f>K358-M358+N358</f>
        <v>536</v>
      </c>
      <c r="P358" t="s">
        <v>43</v>
      </c>
      <c r="Q358" t="b">
        <v>1</v>
      </c>
      <c r="R358" t="s">
        <v>55</v>
      </c>
      <c r="S358" t="s">
        <v>68</v>
      </c>
      <c r="T358" t="s">
        <v>69</v>
      </c>
      <c r="U358" t="s">
        <v>51</v>
      </c>
      <c r="V358" t="s">
        <v>63</v>
      </c>
      <c r="W358" t="s">
        <v>780</v>
      </c>
      <c r="X358" t="s">
        <v>59</v>
      </c>
      <c r="Y358">
        <v>9007199254741346</v>
      </c>
      <c r="Z358">
        <v>0</v>
      </c>
      <c r="AA358" t="s">
        <v>63</v>
      </c>
      <c r="AB358" t="b">
        <v>1</v>
      </c>
      <c r="AD358" s="3">
        <v>0.125</v>
      </c>
      <c r="AE358" s="2">
        <v>45919.5</v>
      </c>
      <c r="AF358" t="s">
        <v>60</v>
      </c>
    </row>
    <row r="359">
      <c r="A359" t="s">
        <v>781</v>
      </c>
      <c r="B359" s="2">
        <v>45918.5</v>
      </c>
      <c r="C359" t="s">
        <v>37</v>
      </c>
      <c r="D359" t="s">
        <f>'客户档案'!B3</f>
        <v>38</v>
      </c>
      <c r="E359" t="s">
        <v>64</v>
      </c>
      <c r="F359" t="s">
        <v>65</v>
      </c>
      <c r="G359" t="s">
        <f>'商品目录'!B5</f>
        <v>66</v>
      </c>
      <c r="H359" t="s">
        <v>67</v>
      </c>
      <c r="I359">
        <v>10</v>
      </c>
      <c r="J359" s="4">
        <v>45</v>
      </c>
      <c r="K359" s="4">
        <f>I359*J359</f>
        <v>450</v>
      </c>
      <c r="L359" s="3">
        <v>0</v>
      </c>
      <c r="M359" s="4">
        <f>K359*L359</f>
        <v>0</v>
      </c>
      <c r="N359" s="4">
        <v>0</v>
      </c>
      <c r="O359" s="4">
        <f>K359-M359+N359</f>
        <v>450</v>
      </c>
      <c r="P359" t="s">
        <v>43</v>
      </c>
      <c r="Q359" t="b">
        <v>1</v>
      </c>
      <c r="R359" t="s">
        <v>55</v>
      </c>
      <c r="S359" t="s">
        <v>45</v>
      </c>
      <c r="T359" t="s">
        <v>46</v>
      </c>
      <c r="U359" t="s">
        <v>70</v>
      </c>
      <c r="V359" t="s">
        <v>38</v>
      </c>
      <c r="W359" t="s">
        <v>782</v>
      </c>
      <c r="X359" t="s">
        <v>72</v>
      </c>
      <c r="Y359">
        <v>9007199254741347</v>
      </c>
      <c r="Z359">
        <v>0</v>
      </c>
      <c r="AA359" t="s">
        <v>38</v>
      </c>
      <c r="AB359" t="b">
        <v>0</v>
      </c>
      <c r="AD359" s="3">
        <v>0.125</v>
      </c>
      <c r="AE359" s="2">
        <v>45920.5</v>
      </c>
      <c r="AF359" t="s">
        <v>60</v>
      </c>
    </row>
    <row r="360">
      <c r="A360" t="s">
        <v>783</v>
      </c>
      <c r="B360" s="2">
        <v>45919.5</v>
      </c>
      <c r="C360" t="s">
        <v>49</v>
      </c>
      <c r="D360" t="s">
        <f>'客户档案'!B4</f>
        <v>50</v>
      </c>
      <c r="E360" t="s">
        <v>74</v>
      </c>
      <c r="F360" t="s">
        <v>75</v>
      </c>
      <c r="G360" t="s">
        <f>'商品目录'!B6</f>
        <v>76</v>
      </c>
      <c r="H360" t="s">
        <v>77</v>
      </c>
      <c r="I360">
        <v>2</v>
      </c>
      <c r="J360" s="4">
        <v>8</v>
      </c>
      <c r="K360" s="4">
        <f>I360*J360</f>
        <v>16</v>
      </c>
      <c r="L360" s="3">
        <v>0.5</v>
      </c>
      <c r="M360" s="4">
        <f>K360*L360</f>
        <v>8</v>
      </c>
      <c r="N360" s="4">
        <v>10</v>
      </c>
      <c r="O360" s="4">
        <f>K360-M360+N360</f>
        <v>18</v>
      </c>
      <c r="P360" t="s">
        <v>43</v>
      </c>
      <c r="Q360" t="b">
        <v>1</v>
      </c>
      <c r="R360" t="s">
        <v>55</v>
      </c>
      <c r="S360" t="s">
        <v>56</v>
      </c>
      <c r="T360" t="s">
        <v>57</v>
      </c>
      <c r="U360" t="s">
        <v>78</v>
      </c>
      <c r="V360" t="s">
        <v>50</v>
      </c>
      <c r="W360" t="s">
        <v>784</v>
      </c>
      <c r="X360" t="s">
        <v>80</v>
      </c>
      <c r="Y360">
        <v>9007199254741348</v>
      </c>
      <c r="Z360">
        <v>0</v>
      </c>
      <c r="AA360" t="s">
        <v>50</v>
      </c>
      <c r="AB360" t="b">
        <v>1</v>
      </c>
      <c r="AD360" s="3">
        <v>0.125</v>
      </c>
      <c r="AE360" s="2">
        <v>45921.5</v>
      </c>
      <c r="AF360" t="s">
        <v>60</v>
      </c>
    </row>
    <row r="361">
      <c r="A361" t="s">
        <v>785</v>
      </c>
      <c r="B361" s="2">
        <v>45920.5</v>
      </c>
      <c r="C361" t="s">
        <v>62</v>
      </c>
      <c r="D361" t="s">
        <f>'客户档案'!B5</f>
        <v>63</v>
      </c>
      <c r="E361" t="s">
        <v>39</v>
      </c>
      <c r="F361" t="s">
        <v>40</v>
      </c>
      <c r="G361" t="s">
        <f>'商品目录'!B3</f>
        <v>41</v>
      </c>
      <c r="H361" t="s">
        <v>42</v>
      </c>
      <c r="I361">
        <v>4</v>
      </c>
      <c r="J361" s="4">
        <v>99</v>
      </c>
      <c r="K361" s="4">
        <f>I361*J361</f>
        <v>396</v>
      </c>
      <c r="L361" s="3">
        <v>0</v>
      </c>
      <c r="M361" s="4">
        <f>K361*L361</f>
        <v>0</v>
      </c>
      <c r="N361" s="4">
        <v>20</v>
      </c>
      <c r="O361" s="4">
        <f>K361-M361+N361</f>
        <v>416</v>
      </c>
      <c r="P361" t="s">
        <v>43</v>
      </c>
      <c r="Q361" t="b">
        <v>0</v>
      </c>
      <c r="R361" t="s">
        <v>44</v>
      </c>
      <c r="S361" t="s">
        <v>68</v>
      </c>
      <c r="T361" t="s">
        <v>69</v>
      </c>
      <c r="U361" t="s">
        <v>39</v>
      </c>
      <c r="V361" t="s">
        <v>63</v>
      </c>
      <c r="W361" t="s">
        <v>786</v>
      </c>
      <c r="X361" t="s">
        <v>0</v>
      </c>
      <c r="Y361">
        <v>9007199254741349</v>
      </c>
      <c r="Z361">
        <v>0</v>
      </c>
      <c r="AA361" t="s">
        <v>63</v>
      </c>
      <c r="AB361" t="b">
        <v>0</v>
      </c>
      <c r="AD361" s="3">
        <v>0.125</v>
      </c>
      <c r="AE361" s="2">
        <v>45922.5</v>
      </c>
      <c r="AF361" t="s">
        <v>60</v>
      </c>
    </row>
    <row r="362">
      <c r="A362" t="s">
        <v>787</v>
      </c>
      <c r="B362" s="2">
        <v>45921.5</v>
      </c>
      <c r="C362" t="s">
        <v>37</v>
      </c>
      <c r="D362" t="s">
        <f>'客户档案'!B3</f>
        <v>38</v>
      </c>
      <c r="E362" t="s">
        <v>51</v>
      </c>
      <c r="F362" t="s">
        <v>52</v>
      </c>
      <c r="G362" t="s">
        <f>'商品目录'!B4</f>
        <v>53</v>
      </c>
      <c r="H362" t="s">
        <v>54</v>
      </c>
      <c r="I362">
        <v>6</v>
      </c>
      <c r="J362" s="4">
        <v>129</v>
      </c>
      <c r="K362" s="4">
        <f>I362*J362</f>
        <v>774</v>
      </c>
      <c r="L362" s="3">
        <v>0.5</v>
      </c>
      <c r="M362" s="4">
        <f>K362*L362</f>
        <v>387</v>
      </c>
      <c r="N362" s="4">
        <v>0</v>
      </c>
      <c r="O362" s="4">
        <f>K362-M362+N362</f>
        <v>387</v>
      </c>
      <c r="P362" t="s">
        <v>43</v>
      </c>
      <c r="Q362" t="b">
        <v>1</v>
      </c>
      <c r="R362" t="s">
        <v>55</v>
      </c>
      <c r="S362" t="s">
        <v>45</v>
      </c>
      <c r="T362" t="s">
        <v>46</v>
      </c>
      <c r="U362" t="s">
        <v>51</v>
      </c>
      <c r="V362" t="s">
        <v>38</v>
      </c>
      <c r="W362" t="s">
        <v>788</v>
      </c>
      <c r="X362" t="s">
        <v>59</v>
      </c>
      <c r="Y362">
        <v>9007199254741350</v>
      </c>
      <c r="Z362">
        <v>2</v>
      </c>
      <c r="AA362" t="s">
        <v>38</v>
      </c>
      <c r="AB362" t="b">
        <v>1</v>
      </c>
      <c r="AD362" s="3">
        <v>0.125</v>
      </c>
      <c r="AE362" s="2">
        <v>45923.5</v>
      </c>
      <c r="AF362" t="s">
        <v>60</v>
      </c>
    </row>
    <row r="363">
      <c r="A363" t="s">
        <v>789</v>
      </c>
      <c r="B363" s="2">
        <v>45922.5</v>
      </c>
      <c r="C363" t="s">
        <v>49</v>
      </c>
      <c r="D363" t="s">
        <f>'客户档案'!B4</f>
        <v>50</v>
      </c>
      <c r="E363" t="s">
        <v>64</v>
      </c>
      <c r="F363" t="s">
        <v>65</v>
      </c>
      <c r="G363" t="s">
        <f>'商品目录'!B5</f>
        <v>66</v>
      </c>
      <c r="H363" t="s">
        <v>67</v>
      </c>
      <c r="I363">
        <v>8</v>
      </c>
      <c r="J363" s="4">
        <v>45</v>
      </c>
      <c r="K363" s="4">
        <f>I363*J363</f>
        <v>360</v>
      </c>
      <c r="L363" s="3">
        <v>0</v>
      </c>
      <c r="M363" s="4">
        <f>K363*L363</f>
        <v>0</v>
      </c>
      <c r="N363" s="4">
        <v>10</v>
      </c>
      <c r="O363" s="4">
        <f>K363-M363+N363</f>
        <v>370</v>
      </c>
      <c r="P363" t="s">
        <v>43</v>
      </c>
      <c r="Q363" t="b">
        <v>1</v>
      </c>
      <c r="R363" t="s">
        <v>55</v>
      </c>
      <c r="S363" t="s">
        <v>56</v>
      </c>
      <c r="T363" t="s">
        <v>57</v>
      </c>
      <c r="U363" t="s">
        <v>70</v>
      </c>
      <c r="V363" t="s">
        <v>50</v>
      </c>
      <c r="W363" t="s">
        <v>790</v>
      </c>
      <c r="X363" t="s">
        <v>72</v>
      </c>
      <c r="Y363">
        <v>9007199254741351</v>
      </c>
      <c r="Z363">
        <v>0</v>
      </c>
      <c r="AA363" t="s">
        <v>50</v>
      </c>
      <c r="AB363" t="b">
        <v>0</v>
      </c>
      <c r="AD363" s="3">
        <v>0.125</v>
      </c>
      <c r="AE363" s="2">
        <v>45924.5</v>
      </c>
      <c r="AF363" t="s">
        <v>60</v>
      </c>
    </row>
    <row r="364">
      <c r="A364" t="s">
        <v>791</v>
      </c>
      <c r="B364" s="2">
        <v>45923.5</v>
      </c>
      <c r="C364" t="s">
        <v>62</v>
      </c>
      <c r="D364" t="s">
        <f>'客户档案'!B5</f>
        <v>63</v>
      </c>
      <c r="E364" t="s">
        <v>74</v>
      </c>
      <c r="F364" t="s">
        <v>75</v>
      </c>
      <c r="G364" t="s">
        <f>'商品目录'!B6</f>
        <v>76</v>
      </c>
      <c r="H364" t="s">
        <v>77</v>
      </c>
      <c r="I364">
        <v>10</v>
      </c>
      <c r="J364" s="4">
        <v>8</v>
      </c>
      <c r="K364" s="4">
        <f>I364*J364</f>
        <v>80</v>
      </c>
      <c r="L364" s="3">
        <v>0.5</v>
      </c>
      <c r="M364" s="4">
        <f>K364*L364</f>
        <v>40</v>
      </c>
      <c r="N364" s="4">
        <v>20</v>
      </c>
      <c r="O364" s="4">
        <f>K364-M364+N364</f>
        <v>60</v>
      </c>
      <c r="P364" t="s">
        <v>43</v>
      </c>
      <c r="Q364" t="b">
        <v>1</v>
      </c>
      <c r="R364" t="s">
        <v>55</v>
      </c>
      <c r="S364" t="s">
        <v>68</v>
      </c>
      <c r="T364" t="s">
        <v>69</v>
      </c>
      <c r="U364" t="s">
        <v>78</v>
      </c>
      <c r="V364" t="s">
        <v>63</v>
      </c>
      <c r="W364" t="s">
        <v>792</v>
      </c>
      <c r="X364" t="s">
        <v>80</v>
      </c>
      <c r="Y364">
        <v>9007199254741352</v>
      </c>
      <c r="Z364">
        <v>0</v>
      </c>
      <c r="AA364" t="s">
        <v>63</v>
      </c>
      <c r="AB364" t="b">
        <v>1</v>
      </c>
      <c r="AD364" s="3">
        <v>0.125</v>
      </c>
      <c r="AE364" s="2">
        <v>45925.5</v>
      </c>
      <c r="AF364" t="s">
        <v>60</v>
      </c>
    </row>
    <row r="365">
      <c r="A365" t="s">
        <v>793</v>
      </c>
      <c r="B365" s="2">
        <v>45924.5</v>
      </c>
      <c r="C365" t="s">
        <v>37</v>
      </c>
      <c r="D365" t="s">
        <f>'客户档案'!B3</f>
        <v>38</v>
      </c>
      <c r="E365" t="s">
        <v>39</v>
      </c>
      <c r="F365" t="s">
        <v>40</v>
      </c>
      <c r="G365" t="s">
        <f>'商品目录'!B3</f>
        <v>41</v>
      </c>
      <c r="H365" t="s">
        <v>42</v>
      </c>
      <c r="I365">
        <v>2</v>
      </c>
      <c r="J365" s="4">
        <v>99</v>
      </c>
      <c r="K365" s="4">
        <f>I365*J365</f>
        <v>198</v>
      </c>
      <c r="L365" s="3">
        <v>0</v>
      </c>
      <c r="M365" s="4">
        <f>K365*L365</f>
        <v>0</v>
      </c>
      <c r="N365" s="4">
        <v>0</v>
      </c>
      <c r="O365" s="4">
        <f>K365-M365+N365</f>
        <v>198</v>
      </c>
      <c r="P365" t="s">
        <v>43</v>
      </c>
      <c r="Q365" t="b">
        <v>0</v>
      </c>
      <c r="R365" t="s">
        <v>44</v>
      </c>
      <c r="S365" t="s">
        <v>45</v>
      </c>
      <c r="T365" t="s">
        <v>46</v>
      </c>
      <c r="U365" t="s">
        <v>39</v>
      </c>
      <c r="V365" t="s">
        <v>38</v>
      </c>
      <c r="W365" t="s">
        <v>794</v>
      </c>
      <c r="X365" t="s">
        <v>0</v>
      </c>
      <c r="Y365">
        <v>9007199254741353</v>
      </c>
      <c r="Z365">
        <v>0</v>
      </c>
      <c r="AA365" t="s">
        <v>38</v>
      </c>
      <c r="AB365" t="b">
        <v>0</v>
      </c>
      <c r="AD365" s="3">
        <v>0.125</v>
      </c>
      <c r="AE365" s="2">
        <v>45926.5</v>
      </c>
      <c r="AF365" t="s">
        <v>60</v>
      </c>
    </row>
    <row r="366">
      <c r="A366" t="s">
        <v>795</v>
      </c>
      <c r="B366" s="2">
        <v>45925.5</v>
      </c>
      <c r="C366" t="s">
        <v>49</v>
      </c>
      <c r="D366" t="s">
        <f>'客户档案'!B4</f>
        <v>50</v>
      </c>
      <c r="E366" t="s">
        <v>51</v>
      </c>
      <c r="F366" t="s">
        <v>52</v>
      </c>
      <c r="G366" t="s">
        <f>'商品目录'!B4</f>
        <v>53</v>
      </c>
      <c r="H366" t="s">
        <v>54</v>
      </c>
      <c r="I366">
        <v>4</v>
      </c>
      <c r="J366" s="4">
        <v>129</v>
      </c>
      <c r="K366" s="4">
        <f>I366*J366</f>
        <v>516</v>
      </c>
      <c r="L366" s="3">
        <v>0.5</v>
      </c>
      <c r="M366" s="4">
        <f>K366*L366</f>
        <v>258</v>
      </c>
      <c r="N366" s="4">
        <v>10</v>
      </c>
      <c r="O366" s="4">
        <f>K366-M366+N366</f>
        <v>268</v>
      </c>
      <c r="P366" t="s">
        <v>43</v>
      </c>
      <c r="Q366" t="b">
        <v>1</v>
      </c>
      <c r="R366" t="s">
        <v>55</v>
      </c>
      <c r="S366" t="s">
        <v>56</v>
      </c>
      <c r="T366" t="s">
        <v>57</v>
      </c>
      <c r="U366" t="s">
        <v>51</v>
      </c>
      <c r="V366" t="s">
        <v>50</v>
      </c>
      <c r="W366" t="s">
        <v>796</v>
      </c>
      <c r="X366" t="s">
        <v>59</v>
      </c>
      <c r="Y366">
        <v>9007199254741354</v>
      </c>
      <c r="Z366">
        <v>0</v>
      </c>
      <c r="AA366" t="s">
        <v>50</v>
      </c>
      <c r="AB366" t="b">
        <v>1</v>
      </c>
      <c r="AD366" s="3">
        <v>0.125</v>
      </c>
      <c r="AE366" s="2">
        <v>45927.5</v>
      </c>
      <c r="AF366" t="s">
        <v>60</v>
      </c>
    </row>
    <row r="367">
      <c r="A367" t="s">
        <v>797</v>
      </c>
      <c r="B367" s="2">
        <v>45926.5</v>
      </c>
      <c r="C367" t="s">
        <v>62</v>
      </c>
      <c r="D367" t="s">
        <f>'客户档案'!B5</f>
        <v>63</v>
      </c>
      <c r="E367" t="s">
        <v>64</v>
      </c>
      <c r="F367" t="s">
        <v>65</v>
      </c>
      <c r="G367" t="s">
        <f>'商品目录'!B5</f>
        <v>66</v>
      </c>
      <c r="H367" t="s">
        <v>67</v>
      </c>
      <c r="I367">
        <v>6</v>
      </c>
      <c r="J367" s="4">
        <v>45</v>
      </c>
      <c r="K367" s="4">
        <f>I367*J367</f>
        <v>270</v>
      </c>
      <c r="L367" s="3">
        <v>0</v>
      </c>
      <c r="M367" s="4">
        <f>K367*L367</f>
        <v>0</v>
      </c>
      <c r="N367" s="4">
        <v>20</v>
      </c>
      <c r="O367" s="4">
        <f>K367-M367+N367</f>
        <v>290</v>
      </c>
      <c r="P367" t="s">
        <v>43</v>
      </c>
      <c r="Q367" t="b">
        <v>1</v>
      </c>
      <c r="R367" t="s">
        <v>55</v>
      </c>
      <c r="S367" t="s">
        <v>68</v>
      </c>
      <c r="T367" t="s">
        <v>69</v>
      </c>
      <c r="U367" t="s">
        <v>70</v>
      </c>
      <c r="V367" t="s">
        <v>63</v>
      </c>
      <c r="W367" t="s">
        <v>798</v>
      </c>
      <c r="X367" t="s">
        <v>72</v>
      </c>
      <c r="Y367">
        <v>9007199254741355</v>
      </c>
      <c r="Z367">
        <v>0</v>
      </c>
      <c r="AA367" t="s">
        <v>63</v>
      </c>
      <c r="AB367" t="b">
        <v>0</v>
      </c>
      <c r="AD367" s="3">
        <v>0.125</v>
      </c>
      <c r="AE367" s="2">
        <v>45928.5</v>
      </c>
      <c r="AF367" t="s">
        <v>60</v>
      </c>
    </row>
    <row r="368">
      <c r="A368" t="s">
        <v>799</v>
      </c>
      <c r="B368" s="2">
        <v>45927.5</v>
      </c>
      <c r="C368" t="s">
        <v>37</v>
      </c>
      <c r="D368" t="s">
        <f>'客户档案'!B3</f>
        <v>38</v>
      </c>
      <c r="E368" t="s">
        <v>74</v>
      </c>
      <c r="F368" t="s">
        <v>75</v>
      </c>
      <c r="G368" t="s">
        <f>'商品目录'!B6</f>
        <v>76</v>
      </c>
      <c r="H368" t="s">
        <v>77</v>
      </c>
      <c r="I368">
        <v>8</v>
      </c>
      <c r="J368" s="4">
        <v>8</v>
      </c>
      <c r="K368" s="4">
        <f>I368*J368</f>
        <v>64</v>
      </c>
      <c r="L368" s="3">
        <v>0.5</v>
      </c>
      <c r="M368" s="4">
        <f>K368*L368</f>
        <v>32</v>
      </c>
      <c r="N368" s="4">
        <v>0</v>
      </c>
      <c r="O368" s="4">
        <f>K368-M368+N368</f>
        <v>32</v>
      </c>
      <c r="P368" t="s">
        <v>43</v>
      </c>
      <c r="Q368" t="b">
        <v>1</v>
      </c>
      <c r="R368" t="s">
        <v>55</v>
      </c>
      <c r="S368" t="s">
        <v>45</v>
      </c>
      <c r="T368" t="s">
        <v>46</v>
      </c>
      <c r="U368" t="s">
        <v>78</v>
      </c>
      <c r="V368" t="s">
        <v>38</v>
      </c>
      <c r="W368" t="s">
        <v>800</v>
      </c>
      <c r="X368" t="s">
        <v>80</v>
      </c>
      <c r="Y368">
        <v>9007199254741356</v>
      </c>
      <c r="Z368">
        <v>0</v>
      </c>
      <c r="AA368" t="s">
        <v>38</v>
      </c>
      <c r="AB368" t="b">
        <v>1</v>
      </c>
      <c r="AD368" s="3">
        <v>0.125</v>
      </c>
      <c r="AE368" s="2">
        <v>45929.5</v>
      </c>
      <c r="AF368" t="s">
        <v>60</v>
      </c>
    </row>
    <row r="369">
      <c r="A369" t="s">
        <v>801</v>
      </c>
      <c r="B369" s="2">
        <v>45900.5</v>
      </c>
      <c r="C369" t="s">
        <v>49</v>
      </c>
      <c r="D369" t="s">
        <f>'客户档案'!B4</f>
        <v>50</v>
      </c>
      <c r="E369" t="s">
        <v>39</v>
      </c>
      <c r="F369" t="s">
        <v>40</v>
      </c>
      <c r="G369" t="s">
        <f>'商品目录'!B3</f>
        <v>41</v>
      </c>
      <c r="H369" t="s">
        <v>42</v>
      </c>
      <c r="I369">
        <v>10</v>
      </c>
      <c r="J369" s="4">
        <v>99</v>
      </c>
      <c r="K369" s="4">
        <f>I369*J369</f>
        <v>990</v>
      </c>
      <c r="L369" s="3">
        <v>0</v>
      </c>
      <c r="M369" s="4">
        <f>K369*L369</f>
        <v>0</v>
      </c>
      <c r="N369" s="4">
        <v>10</v>
      </c>
      <c r="O369" s="4">
        <f>K369-M369+N369</f>
        <v>1000</v>
      </c>
      <c r="P369" t="s">
        <v>43</v>
      </c>
      <c r="Q369" t="b">
        <v>0</v>
      </c>
      <c r="R369" t="s">
        <v>44</v>
      </c>
      <c r="S369" t="s">
        <v>56</v>
      </c>
      <c r="T369" t="s">
        <v>57</v>
      </c>
      <c r="U369" t="s">
        <v>39</v>
      </c>
      <c r="V369" t="s">
        <v>50</v>
      </c>
      <c r="W369" t="s">
        <v>802</v>
      </c>
      <c r="X369" t="s">
        <v>0</v>
      </c>
      <c r="Y369">
        <v>9007199254741357</v>
      </c>
      <c r="Z369">
        <v>0</v>
      </c>
      <c r="AA369" t="s">
        <v>50</v>
      </c>
      <c r="AB369" t="b">
        <v>0</v>
      </c>
      <c r="AD369" s="3">
        <v>0.125</v>
      </c>
      <c r="AE369" s="2">
        <v>45902.5</v>
      </c>
      <c r="AF369" t="s">
        <v>60</v>
      </c>
    </row>
    <row r="370">
      <c r="A370" t="s">
        <v>803</v>
      </c>
      <c r="B370" s="2">
        <v>45901.5</v>
      </c>
      <c r="C370" t="s">
        <v>62</v>
      </c>
      <c r="D370" t="s">
        <f>'客户档案'!B5</f>
        <v>63</v>
      </c>
      <c r="E370" t="s">
        <v>51</v>
      </c>
      <c r="F370" t="s">
        <v>52</v>
      </c>
      <c r="G370" t="s">
        <f>'商品目录'!B4</f>
        <v>53</v>
      </c>
      <c r="H370" t="s">
        <v>54</v>
      </c>
      <c r="I370">
        <v>2</v>
      </c>
      <c r="J370" s="4">
        <v>129</v>
      </c>
      <c r="K370" s="4">
        <f>I370*J370</f>
        <v>258</v>
      </c>
      <c r="L370" s="3">
        <v>0.5</v>
      </c>
      <c r="M370" s="4">
        <f>K370*L370</f>
        <v>129</v>
      </c>
      <c r="N370" s="4">
        <v>20</v>
      </c>
      <c r="O370" s="4">
        <f>K370-M370+N370</f>
        <v>149</v>
      </c>
      <c r="P370" t="s">
        <v>43</v>
      </c>
      <c r="Q370" t="b">
        <v>1</v>
      </c>
      <c r="R370" t="s">
        <v>55</v>
      </c>
      <c r="S370" t="s">
        <v>68</v>
      </c>
      <c r="T370" t="s">
        <v>69</v>
      </c>
      <c r="U370" t="s">
        <v>51</v>
      </c>
      <c r="V370" t="s">
        <v>63</v>
      </c>
      <c r="W370" t="s">
        <v>804</v>
      </c>
      <c r="X370" t="s">
        <v>59</v>
      </c>
      <c r="Y370">
        <v>9007199254741358</v>
      </c>
      <c r="Z370">
        <v>0</v>
      </c>
      <c r="AA370" t="s">
        <v>63</v>
      </c>
      <c r="AB370" t="b">
        <v>1</v>
      </c>
      <c r="AD370" s="3">
        <v>0.125</v>
      </c>
      <c r="AE370" s="2">
        <v>45903.5</v>
      </c>
      <c r="AF370" t="s">
        <v>60</v>
      </c>
    </row>
    <row r="371">
      <c r="A371" t="s">
        <v>805</v>
      </c>
      <c r="B371" s="2">
        <v>45902.5</v>
      </c>
      <c r="C371" t="s">
        <v>37</v>
      </c>
      <c r="D371" t="s">
        <f>'客户档案'!B3</f>
        <v>38</v>
      </c>
      <c r="E371" t="s">
        <v>64</v>
      </c>
      <c r="F371" t="s">
        <v>65</v>
      </c>
      <c r="G371" t="s">
        <f>'商品目录'!B5</f>
        <v>66</v>
      </c>
      <c r="H371" t="s">
        <v>67</v>
      </c>
      <c r="I371">
        <v>4</v>
      </c>
      <c r="J371" s="4">
        <v>45</v>
      </c>
      <c r="K371" s="4">
        <f>I371*J371</f>
        <v>180</v>
      </c>
      <c r="L371" s="3">
        <v>0</v>
      </c>
      <c r="M371" s="4">
        <f>K371*L371</f>
        <v>0</v>
      </c>
      <c r="N371" s="4">
        <v>0</v>
      </c>
      <c r="O371" s="4">
        <f>K371-M371+N371</f>
        <v>180</v>
      </c>
      <c r="P371" t="s">
        <v>43</v>
      </c>
      <c r="Q371" t="b">
        <v>1</v>
      </c>
      <c r="R371" t="s">
        <v>55</v>
      </c>
      <c r="S371" t="s">
        <v>45</v>
      </c>
      <c r="T371" t="s">
        <v>46</v>
      </c>
      <c r="U371" t="s">
        <v>70</v>
      </c>
      <c r="V371" t="s">
        <v>38</v>
      </c>
      <c r="W371" t="s">
        <v>806</v>
      </c>
      <c r="X371" t="s">
        <v>72</v>
      </c>
      <c r="Y371">
        <v>9007199254741359</v>
      </c>
      <c r="Z371">
        <v>0</v>
      </c>
      <c r="AA371" t="s">
        <v>38</v>
      </c>
      <c r="AB371" t="b">
        <v>0</v>
      </c>
      <c r="AD371" s="3">
        <v>0.125</v>
      </c>
      <c r="AE371" s="2">
        <v>45904.5</v>
      </c>
      <c r="AF371" t="s">
        <v>60</v>
      </c>
    </row>
    <row r="372">
      <c r="A372" t="s">
        <v>807</v>
      </c>
      <c r="B372" s="2">
        <v>45903.5</v>
      </c>
      <c r="C372" t="s">
        <v>49</v>
      </c>
      <c r="D372" t="s">
        <f>'客户档案'!B4</f>
        <v>50</v>
      </c>
      <c r="E372" t="s">
        <v>74</v>
      </c>
      <c r="F372" t="s">
        <v>75</v>
      </c>
      <c r="G372" t="s">
        <f>'商品目录'!B6</f>
        <v>76</v>
      </c>
      <c r="H372" t="s">
        <v>77</v>
      </c>
      <c r="I372">
        <v>6</v>
      </c>
      <c r="J372" s="4">
        <v>8</v>
      </c>
      <c r="K372" s="4">
        <f>I372*J372</f>
        <v>48</v>
      </c>
      <c r="L372" s="3">
        <v>0.5</v>
      </c>
      <c r="M372" s="4">
        <f>K372*L372</f>
        <v>24</v>
      </c>
      <c r="N372" s="4">
        <v>10</v>
      </c>
      <c r="O372" s="4">
        <f>K372-M372+N372</f>
        <v>34</v>
      </c>
      <c r="P372" t="s">
        <v>43</v>
      </c>
      <c r="Q372" t="b">
        <v>1</v>
      </c>
      <c r="R372" t="s">
        <v>55</v>
      </c>
      <c r="S372" t="s">
        <v>56</v>
      </c>
      <c r="T372" t="s">
        <v>57</v>
      </c>
      <c r="U372" t="s">
        <v>78</v>
      </c>
      <c r="V372" t="s">
        <v>50</v>
      </c>
      <c r="W372" t="s">
        <v>808</v>
      </c>
      <c r="X372" t="s">
        <v>80</v>
      </c>
      <c r="Y372">
        <v>9007199254741360</v>
      </c>
      <c r="Z372">
        <v>0</v>
      </c>
      <c r="AA372" t="s">
        <v>50</v>
      </c>
      <c r="AB372" t="b">
        <v>1</v>
      </c>
      <c r="AD372" s="3">
        <v>0.125</v>
      </c>
      <c r="AE372" s="2">
        <v>45905.5</v>
      </c>
      <c r="AF372" t="s">
        <v>60</v>
      </c>
    </row>
    <row r="373">
      <c r="A373" t="s">
        <v>809</v>
      </c>
      <c r="B373" s="2">
        <v>45904.5</v>
      </c>
      <c r="C373" t="s">
        <v>62</v>
      </c>
      <c r="D373" t="s">
        <f>'客户档案'!B5</f>
        <v>63</v>
      </c>
      <c r="E373" t="s">
        <v>39</v>
      </c>
      <c r="F373" t="s">
        <v>40</v>
      </c>
      <c r="G373" t="s">
        <f>'商品目录'!B3</f>
        <v>41</v>
      </c>
      <c r="H373" t="s">
        <v>42</v>
      </c>
      <c r="I373">
        <v>8</v>
      </c>
      <c r="J373" s="4">
        <v>99</v>
      </c>
      <c r="K373" s="4">
        <f>I373*J373</f>
        <v>792</v>
      </c>
      <c r="L373" s="3">
        <v>0</v>
      </c>
      <c r="M373" s="4">
        <f>K373*L373</f>
        <v>0</v>
      </c>
      <c r="N373" s="4">
        <v>20</v>
      </c>
      <c r="O373" s="4">
        <f>K373-M373+N373</f>
        <v>812</v>
      </c>
      <c r="P373" t="s">
        <v>43</v>
      </c>
      <c r="Q373" t="b">
        <v>0</v>
      </c>
      <c r="R373" t="s">
        <v>44</v>
      </c>
      <c r="S373" t="s">
        <v>68</v>
      </c>
      <c r="T373" t="s">
        <v>69</v>
      </c>
      <c r="U373" t="s">
        <v>39</v>
      </c>
      <c r="V373" t="s">
        <v>63</v>
      </c>
      <c r="W373" t="s">
        <v>810</v>
      </c>
      <c r="X373" t="s">
        <v>0</v>
      </c>
      <c r="Y373">
        <v>9007199254741361</v>
      </c>
      <c r="Z373">
        <v>0</v>
      </c>
      <c r="AA373" t="s">
        <v>63</v>
      </c>
      <c r="AB373" t="b">
        <v>0</v>
      </c>
      <c r="AD373" s="3">
        <v>0.125</v>
      </c>
      <c r="AE373" s="2">
        <v>45906.5</v>
      </c>
      <c r="AF373" t="s">
        <v>60</v>
      </c>
    </row>
    <row r="374">
      <c r="A374" t="s">
        <v>811</v>
      </c>
      <c r="B374" s="2">
        <v>45905.5</v>
      </c>
      <c r="C374" t="s">
        <v>37</v>
      </c>
      <c r="D374" t="s">
        <f>'客户档案'!B3</f>
        <v>38</v>
      </c>
      <c r="E374" t="s">
        <v>51</v>
      </c>
      <c r="F374" t="s">
        <v>52</v>
      </c>
      <c r="G374" t="s">
        <f>'商品目录'!B4</f>
        <v>53</v>
      </c>
      <c r="H374" t="s">
        <v>54</v>
      </c>
      <c r="I374">
        <v>10</v>
      </c>
      <c r="J374" s="4">
        <v>129</v>
      </c>
      <c r="K374" s="4">
        <f>I374*J374</f>
        <v>1290</v>
      </c>
      <c r="L374" s="3">
        <v>0.5</v>
      </c>
      <c r="M374" s="4">
        <f>K374*L374</f>
        <v>645</v>
      </c>
      <c r="N374" s="4">
        <v>0</v>
      </c>
      <c r="O374" s="4">
        <f>K374-M374+N374</f>
        <v>645</v>
      </c>
      <c r="P374" t="s">
        <v>43</v>
      </c>
      <c r="Q374" t="b">
        <v>1</v>
      </c>
      <c r="R374" t="s">
        <v>55</v>
      </c>
      <c r="S374" t="s">
        <v>45</v>
      </c>
      <c r="T374" t="s">
        <v>46</v>
      </c>
      <c r="U374" t="s">
        <v>51</v>
      </c>
      <c r="V374" t="s">
        <v>38</v>
      </c>
      <c r="W374" t="s">
        <v>812</v>
      </c>
      <c r="X374" t="s">
        <v>59</v>
      </c>
      <c r="Y374">
        <v>9007199254741362</v>
      </c>
      <c r="Z374">
        <v>0</v>
      </c>
      <c r="AA374" t="s">
        <v>38</v>
      </c>
      <c r="AB374" t="b">
        <v>1</v>
      </c>
      <c r="AD374" s="3">
        <v>0.125</v>
      </c>
      <c r="AE374" s="2">
        <v>45907.5</v>
      </c>
      <c r="AF374" t="s">
        <v>60</v>
      </c>
    </row>
    <row r="375">
      <c r="A375" t="s">
        <v>813</v>
      </c>
      <c r="B375" s="2">
        <v>45906.5</v>
      </c>
      <c r="C375" t="s">
        <v>49</v>
      </c>
      <c r="D375" t="s">
        <f>'客户档案'!B4</f>
        <v>50</v>
      </c>
      <c r="E375" t="s">
        <v>64</v>
      </c>
      <c r="F375" t="s">
        <v>65</v>
      </c>
      <c r="G375" t="s">
        <f>'商品目录'!B5</f>
        <v>66</v>
      </c>
      <c r="H375" t="s">
        <v>67</v>
      </c>
      <c r="I375">
        <v>2</v>
      </c>
      <c r="J375" s="4">
        <v>45</v>
      </c>
      <c r="K375" s="4">
        <f>I375*J375</f>
        <v>90</v>
      </c>
      <c r="L375" s="3">
        <v>0</v>
      </c>
      <c r="M375" s="4">
        <f>K375*L375</f>
        <v>0</v>
      </c>
      <c r="N375" s="4">
        <v>10</v>
      </c>
      <c r="O375" s="4">
        <f>K375-M375+N375</f>
        <v>100</v>
      </c>
      <c r="P375" t="s">
        <v>43</v>
      </c>
      <c r="Q375" t="b">
        <v>1</v>
      </c>
      <c r="R375" t="s">
        <v>55</v>
      </c>
      <c r="S375" t="s">
        <v>56</v>
      </c>
      <c r="T375" t="s">
        <v>57</v>
      </c>
      <c r="U375" t="s">
        <v>70</v>
      </c>
      <c r="V375" t="s">
        <v>50</v>
      </c>
      <c r="W375" t="s">
        <v>814</v>
      </c>
      <c r="X375" t="s">
        <v>72</v>
      </c>
      <c r="Y375">
        <v>9007199254741363</v>
      </c>
      <c r="Z375">
        <v>0</v>
      </c>
      <c r="AA375" t="s">
        <v>50</v>
      </c>
      <c r="AB375" t="b">
        <v>0</v>
      </c>
      <c r="AD375" s="3">
        <v>0.125</v>
      </c>
      <c r="AE375" s="2">
        <v>45908.5</v>
      </c>
      <c r="AF375" t="s">
        <v>60</v>
      </c>
    </row>
    <row r="376">
      <c r="A376" t="s">
        <v>815</v>
      </c>
      <c r="B376" s="2">
        <v>45907.5</v>
      </c>
      <c r="C376" t="s">
        <v>62</v>
      </c>
      <c r="D376" t="s">
        <f>'客户档案'!B5</f>
        <v>63</v>
      </c>
      <c r="E376" t="s">
        <v>74</v>
      </c>
      <c r="F376" t="s">
        <v>75</v>
      </c>
      <c r="G376" t="s">
        <f>'商品目录'!B6</f>
        <v>76</v>
      </c>
      <c r="H376" t="s">
        <v>77</v>
      </c>
      <c r="I376">
        <v>4</v>
      </c>
      <c r="J376" s="4">
        <v>8</v>
      </c>
      <c r="K376" s="4">
        <f>I376*J376</f>
        <v>32</v>
      </c>
      <c r="L376" s="3">
        <v>0.5</v>
      </c>
      <c r="M376" s="4">
        <f>K376*L376</f>
        <v>16</v>
      </c>
      <c r="N376" s="4">
        <v>20</v>
      </c>
      <c r="O376" s="4">
        <f>K376-M376+N376</f>
        <v>36</v>
      </c>
      <c r="P376" t="s">
        <v>43</v>
      </c>
      <c r="Q376" t="b">
        <v>1</v>
      </c>
      <c r="R376" t="s">
        <v>55</v>
      </c>
      <c r="S376" t="s">
        <v>68</v>
      </c>
      <c r="T376" t="s">
        <v>69</v>
      </c>
      <c r="U376" t="s">
        <v>78</v>
      </c>
      <c r="V376" t="s">
        <v>63</v>
      </c>
      <c r="W376" t="s">
        <v>816</v>
      </c>
      <c r="X376" t="s">
        <v>80</v>
      </c>
      <c r="Y376">
        <v>9007199254741364</v>
      </c>
      <c r="Z376">
        <v>0</v>
      </c>
      <c r="AA376" t="s">
        <v>63</v>
      </c>
      <c r="AB376" t="b">
        <v>1</v>
      </c>
      <c r="AD376" s="3">
        <v>0.125</v>
      </c>
      <c r="AE376" s="2">
        <v>45909.5</v>
      </c>
      <c r="AF376" t="s">
        <v>60</v>
      </c>
    </row>
    <row r="377">
      <c r="A377" t="s">
        <v>817</v>
      </c>
      <c r="B377" s="2">
        <v>45908.5</v>
      </c>
      <c r="C377" t="s">
        <v>37</v>
      </c>
      <c r="D377" t="s">
        <f>'客户档案'!B3</f>
        <v>38</v>
      </c>
      <c r="E377" t="s">
        <v>39</v>
      </c>
      <c r="F377" t="s">
        <v>40</v>
      </c>
      <c r="G377" t="s">
        <f>'商品目录'!B3</f>
        <v>41</v>
      </c>
      <c r="H377" t="s">
        <v>42</v>
      </c>
      <c r="I377">
        <v>6</v>
      </c>
      <c r="J377" s="4">
        <v>99</v>
      </c>
      <c r="K377" s="4">
        <f>I377*J377</f>
        <v>594</v>
      </c>
      <c r="L377" s="3">
        <v>0</v>
      </c>
      <c r="M377" s="4">
        <f>K377*L377</f>
        <v>0</v>
      </c>
      <c r="N377" s="4">
        <v>0</v>
      </c>
      <c r="O377" s="4">
        <f>K377-M377+N377</f>
        <v>594</v>
      </c>
      <c r="P377" t="s">
        <v>43</v>
      </c>
      <c r="Q377" t="b">
        <v>0</v>
      </c>
      <c r="R377" t="s">
        <v>44</v>
      </c>
      <c r="S377" t="s">
        <v>45</v>
      </c>
      <c r="T377" t="s">
        <v>46</v>
      </c>
      <c r="U377" t="s">
        <v>39</v>
      </c>
      <c r="V377" t="s">
        <v>38</v>
      </c>
      <c r="W377" t="s">
        <v>818</v>
      </c>
      <c r="X377" t="s">
        <v>0</v>
      </c>
      <c r="Y377">
        <v>9007199254741365</v>
      </c>
      <c r="Z377">
        <v>0</v>
      </c>
      <c r="AA377" t="s">
        <v>38</v>
      </c>
      <c r="AB377" t="b">
        <v>0</v>
      </c>
      <c r="AD377" s="3">
        <v>0.125</v>
      </c>
      <c r="AE377" s="2">
        <v>45910.5</v>
      </c>
      <c r="AF377" t="s">
        <v>60</v>
      </c>
    </row>
    <row r="378">
      <c r="A378" t="s">
        <v>819</v>
      </c>
      <c r="B378" s="2">
        <v>45909.5</v>
      </c>
      <c r="C378" t="s">
        <v>49</v>
      </c>
      <c r="D378" t="s">
        <f>'客户档案'!B4</f>
        <v>50</v>
      </c>
      <c r="E378" t="s">
        <v>51</v>
      </c>
      <c r="F378" t="s">
        <v>52</v>
      </c>
      <c r="G378" t="s">
        <f>'商品目录'!B4</f>
        <v>53</v>
      </c>
      <c r="H378" t="s">
        <v>54</v>
      </c>
      <c r="I378">
        <v>8</v>
      </c>
      <c r="J378" s="4">
        <v>129</v>
      </c>
      <c r="K378" s="4">
        <f>I378*J378</f>
        <v>1032</v>
      </c>
      <c r="L378" s="3">
        <v>0.5</v>
      </c>
      <c r="M378" s="4">
        <f>K378*L378</f>
        <v>516</v>
      </c>
      <c r="N378" s="4">
        <v>10</v>
      </c>
      <c r="O378" s="4">
        <f>K378-M378+N378</f>
        <v>526</v>
      </c>
      <c r="P378" t="s">
        <v>43</v>
      </c>
      <c r="Q378" t="b">
        <v>1</v>
      </c>
      <c r="R378" t="s">
        <v>55</v>
      </c>
      <c r="S378" t="s">
        <v>56</v>
      </c>
      <c r="T378" t="s">
        <v>57</v>
      </c>
      <c r="U378" t="s">
        <v>51</v>
      </c>
      <c r="V378" t="s">
        <v>50</v>
      </c>
      <c r="W378" t="s">
        <v>820</v>
      </c>
      <c r="X378" t="s">
        <v>59</v>
      </c>
      <c r="Y378">
        <v>9007199254741366</v>
      </c>
      <c r="Z378">
        <v>0</v>
      </c>
      <c r="AA378" t="s">
        <v>50</v>
      </c>
      <c r="AB378" t="b">
        <v>1</v>
      </c>
      <c r="AD378" s="3">
        <v>0.125</v>
      </c>
      <c r="AE378" s="2">
        <v>45911.5</v>
      </c>
      <c r="AF378" t="s">
        <v>60</v>
      </c>
    </row>
    <row r="379">
      <c r="A379" t="s">
        <v>821</v>
      </c>
      <c r="B379" s="2">
        <v>45910.5</v>
      </c>
      <c r="C379" t="s">
        <v>62</v>
      </c>
      <c r="D379" t="s">
        <f>'客户档案'!B5</f>
        <v>63</v>
      </c>
      <c r="E379" t="s">
        <v>64</v>
      </c>
      <c r="F379" t="s">
        <v>65</v>
      </c>
      <c r="G379" t="s">
        <f>'商品目录'!B5</f>
        <v>66</v>
      </c>
      <c r="H379" t="s">
        <v>67</v>
      </c>
      <c r="I379">
        <v>10</v>
      </c>
      <c r="J379" s="4">
        <v>45</v>
      </c>
      <c r="K379" s="4">
        <f>I379*J379</f>
        <v>450</v>
      </c>
      <c r="L379" s="3">
        <v>0</v>
      </c>
      <c r="M379" s="4">
        <f>K379*L379</f>
        <v>0</v>
      </c>
      <c r="N379" s="4">
        <v>20</v>
      </c>
      <c r="O379" s="4">
        <f>K379-M379+N379</f>
        <v>470</v>
      </c>
      <c r="P379" t="s">
        <v>43</v>
      </c>
      <c r="Q379" t="b">
        <v>1</v>
      </c>
      <c r="R379" t="s">
        <v>55</v>
      </c>
      <c r="S379" t="s">
        <v>68</v>
      </c>
      <c r="T379" t="s">
        <v>69</v>
      </c>
      <c r="U379" t="s">
        <v>70</v>
      </c>
      <c r="V379" t="s">
        <v>63</v>
      </c>
      <c r="W379" t="s">
        <v>822</v>
      </c>
      <c r="X379" t="s">
        <v>72</v>
      </c>
      <c r="Y379">
        <v>9007199254741367</v>
      </c>
      <c r="Z379">
        <v>2</v>
      </c>
      <c r="AA379" t="s">
        <v>63</v>
      </c>
      <c r="AB379" t="b">
        <v>0</v>
      </c>
      <c r="AD379" s="3">
        <v>0.125</v>
      </c>
      <c r="AE379" s="2">
        <v>45912.5</v>
      </c>
      <c r="AF379" t="s">
        <v>60</v>
      </c>
    </row>
    <row r="380">
      <c r="A380" t="s">
        <v>823</v>
      </c>
      <c r="B380" s="2">
        <v>45911.5</v>
      </c>
      <c r="C380" t="s">
        <v>37</v>
      </c>
      <c r="D380" t="s">
        <f>'客户档案'!B3</f>
        <v>38</v>
      </c>
      <c r="E380" t="s">
        <v>74</v>
      </c>
      <c r="F380" t="s">
        <v>75</v>
      </c>
      <c r="G380" t="s">
        <f>'商品目录'!B6</f>
        <v>76</v>
      </c>
      <c r="H380" t="s">
        <v>77</v>
      </c>
      <c r="I380">
        <v>2</v>
      </c>
      <c r="J380" s="4">
        <v>8</v>
      </c>
      <c r="K380" s="4">
        <f>I380*J380</f>
        <v>16</v>
      </c>
      <c r="L380" s="3">
        <v>0.5</v>
      </c>
      <c r="M380" s="4">
        <f>K380*L380</f>
        <v>8</v>
      </c>
      <c r="N380" s="4">
        <v>0</v>
      </c>
      <c r="O380" s="4">
        <f>K380-M380+N380</f>
        <v>8</v>
      </c>
      <c r="P380" t="s">
        <v>43</v>
      </c>
      <c r="Q380" t="b">
        <v>1</v>
      </c>
      <c r="R380" t="s">
        <v>55</v>
      </c>
      <c r="S380" t="s">
        <v>45</v>
      </c>
      <c r="T380" t="s">
        <v>46</v>
      </c>
      <c r="U380" t="s">
        <v>78</v>
      </c>
      <c r="V380" t="s">
        <v>38</v>
      </c>
      <c r="W380" t="s">
        <v>824</v>
      </c>
      <c r="X380" t="s">
        <v>80</v>
      </c>
      <c r="Y380">
        <v>9007199254741368</v>
      </c>
      <c r="Z380">
        <v>0</v>
      </c>
      <c r="AA380" t="s">
        <v>38</v>
      </c>
      <c r="AB380" t="b">
        <v>1</v>
      </c>
      <c r="AD380" s="3">
        <v>0.125</v>
      </c>
      <c r="AE380" s="2">
        <v>45913.5</v>
      </c>
      <c r="AF380" t="s">
        <v>60</v>
      </c>
    </row>
    <row r="381">
      <c r="A381" t="s">
        <v>825</v>
      </c>
      <c r="B381" s="2">
        <v>45912.5</v>
      </c>
      <c r="C381" t="s">
        <v>49</v>
      </c>
      <c r="D381" t="s">
        <f>'客户档案'!B4</f>
        <v>50</v>
      </c>
      <c r="E381" t="s">
        <v>39</v>
      </c>
      <c r="F381" t="s">
        <v>40</v>
      </c>
      <c r="G381" t="s">
        <f>'商品目录'!B3</f>
        <v>41</v>
      </c>
      <c r="H381" t="s">
        <v>42</v>
      </c>
      <c r="I381">
        <v>4</v>
      </c>
      <c r="J381" s="4">
        <v>99</v>
      </c>
      <c r="K381" s="4">
        <f>I381*J381</f>
        <v>396</v>
      </c>
      <c r="L381" s="3">
        <v>0</v>
      </c>
      <c r="M381" s="4">
        <f>K381*L381</f>
        <v>0</v>
      </c>
      <c r="N381" s="4">
        <v>10</v>
      </c>
      <c r="O381" s="4">
        <f>K381-M381+N381</f>
        <v>406</v>
      </c>
      <c r="P381" t="s">
        <v>43</v>
      </c>
      <c r="Q381" t="b">
        <v>0</v>
      </c>
      <c r="R381" t="s">
        <v>44</v>
      </c>
      <c r="S381" t="s">
        <v>56</v>
      </c>
      <c r="T381" t="s">
        <v>57</v>
      </c>
      <c r="U381" t="s">
        <v>39</v>
      </c>
      <c r="V381" t="s">
        <v>50</v>
      </c>
      <c r="W381" t="s">
        <v>826</v>
      </c>
      <c r="X381" t="s">
        <v>0</v>
      </c>
      <c r="Y381">
        <v>9007199254741369</v>
      </c>
      <c r="Z381">
        <v>0</v>
      </c>
      <c r="AA381" t="s">
        <v>50</v>
      </c>
      <c r="AB381" t="b">
        <v>0</v>
      </c>
      <c r="AD381" s="3">
        <v>0.125</v>
      </c>
      <c r="AE381" s="2">
        <v>45914.5</v>
      </c>
      <c r="AF381" t="s">
        <v>60</v>
      </c>
    </row>
    <row r="382">
      <c r="A382" t="s">
        <v>827</v>
      </c>
      <c r="B382" s="2">
        <v>45913.5</v>
      </c>
      <c r="C382" t="s">
        <v>62</v>
      </c>
      <c r="D382" t="s">
        <f>'客户档案'!B5</f>
        <v>63</v>
      </c>
      <c r="E382" t="s">
        <v>51</v>
      </c>
      <c r="F382" t="s">
        <v>52</v>
      </c>
      <c r="G382" t="s">
        <f>'商品目录'!B4</f>
        <v>53</v>
      </c>
      <c r="H382" t="s">
        <v>54</v>
      </c>
      <c r="I382">
        <v>6</v>
      </c>
      <c r="J382" s="4">
        <v>129</v>
      </c>
      <c r="K382" s="4">
        <f>I382*J382</f>
        <v>774</v>
      </c>
      <c r="L382" s="3">
        <v>0.5</v>
      </c>
      <c r="M382" s="4">
        <f>K382*L382</f>
        <v>387</v>
      </c>
      <c r="N382" s="4">
        <v>20</v>
      </c>
      <c r="O382" s="4">
        <f>K382-M382+N382</f>
        <v>407</v>
      </c>
      <c r="P382" t="s">
        <v>43</v>
      </c>
      <c r="Q382" t="b">
        <v>1</v>
      </c>
      <c r="R382" t="s">
        <v>55</v>
      </c>
      <c r="S382" t="s">
        <v>68</v>
      </c>
      <c r="T382" t="s">
        <v>69</v>
      </c>
      <c r="U382" t="s">
        <v>51</v>
      </c>
      <c r="V382" t="s">
        <v>63</v>
      </c>
      <c r="W382" t="s">
        <v>828</v>
      </c>
      <c r="X382" t="s">
        <v>59</v>
      </c>
      <c r="Y382">
        <v>9007199254741370</v>
      </c>
      <c r="Z382">
        <v>0</v>
      </c>
      <c r="AA382" t="s">
        <v>63</v>
      </c>
      <c r="AB382" t="b">
        <v>1</v>
      </c>
      <c r="AD382" s="3">
        <v>0.125</v>
      </c>
      <c r="AE382" s="2">
        <v>45915.5</v>
      </c>
      <c r="AF382" t="s">
        <v>60</v>
      </c>
    </row>
    <row r="383">
      <c r="A383" t="s">
        <v>829</v>
      </c>
      <c r="B383" s="2">
        <v>45914.5</v>
      </c>
      <c r="C383" t="s">
        <v>37</v>
      </c>
      <c r="D383" t="s">
        <f>'客户档案'!B3</f>
        <v>38</v>
      </c>
      <c r="E383" t="s">
        <v>64</v>
      </c>
      <c r="F383" t="s">
        <v>65</v>
      </c>
      <c r="G383" t="s">
        <f>'商品目录'!B5</f>
        <v>66</v>
      </c>
      <c r="H383" t="s">
        <v>67</v>
      </c>
      <c r="I383">
        <v>8</v>
      </c>
      <c r="J383" s="4">
        <v>45</v>
      </c>
      <c r="K383" s="4">
        <f>I383*J383</f>
        <v>360</v>
      </c>
      <c r="L383" s="3">
        <v>0</v>
      </c>
      <c r="M383" s="4">
        <f>K383*L383</f>
        <v>0</v>
      </c>
      <c r="N383" s="4">
        <v>0</v>
      </c>
      <c r="O383" s="4">
        <f>K383-M383+N383</f>
        <v>360</v>
      </c>
      <c r="P383" t="s">
        <v>43</v>
      </c>
      <c r="Q383" t="b">
        <v>1</v>
      </c>
      <c r="R383" t="s">
        <v>55</v>
      </c>
      <c r="S383" t="s">
        <v>45</v>
      </c>
      <c r="T383" t="s">
        <v>46</v>
      </c>
      <c r="U383" t="s">
        <v>70</v>
      </c>
      <c r="V383" t="s">
        <v>38</v>
      </c>
      <c r="W383" t="s">
        <v>830</v>
      </c>
      <c r="X383" t="s">
        <v>72</v>
      </c>
      <c r="Y383">
        <v>9007199254741371</v>
      </c>
      <c r="Z383">
        <v>0</v>
      </c>
      <c r="AA383" t="s">
        <v>38</v>
      </c>
      <c r="AB383" t="b">
        <v>0</v>
      </c>
      <c r="AD383" s="3">
        <v>0.125</v>
      </c>
      <c r="AE383" s="2">
        <v>45916.5</v>
      </c>
      <c r="AF383" t="s">
        <v>60</v>
      </c>
    </row>
    <row r="384">
      <c r="A384" t="s">
        <v>831</v>
      </c>
      <c r="B384" s="2">
        <v>45915.5</v>
      </c>
      <c r="C384" t="s">
        <v>49</v>
      </c>
      <c r="D384" t="s">
        <f>'客户档案'!B4</f>
        <v>50</v>
      </c>
      <c r="E384" t="s">
        <v>74</v>
      </c>
      <c r="F384" t="s">
        <v>75</v>
      </c>
      <c r="G384" t="s">
        <f>'商品目录'!B6</f>
        <v>76</v>
      </c>
      <c r="H384" t="s">
        <v>77</v>
      </c>
      <c r="I384">
        <v>10</v>
      </c>
      <c r="J384" s="4">
        <v>8</v>
      </c>
      <c r="K384" s="4">
        <f>I384*J384</f>
        <v>80</v>
      </c>
      <c r="L384" s="3">
        <v>0.5</v>
      </c>
      <c r="M384" s="4">
        <f>K384*L384</f>
        <v>40</v>
      </c>
      <c r="N384" s="4">
        <v>10</v>
      </c>
      <c r="O384" s="4">
        <f>K384-M384+N384</f>
        <v>50</v>
      </c>
      <c r="P384" t="s">
        <v>43</v>
      </c>
      <c r="Q384" t="b">
        <v>1</v>
      </c>
      <c r="R384" t="s">
        <v>55</v>
      </c>
      <c r="S384" t="s">
        <v>56</v>
      </c>
      <c r="T384" t="s">
        <v>57</v>
      </c>
      <c r="U384" t="s">
        <v>78</v>
      </c>
      <c r="V384" t="s">
        <v>50</v>
      </c>
      <c r="W384" t="s">
        <v>832</v>
      </c>
      <c r="X384" t="s">
        <v>80</v>
      </c>
      <c r="Y384">
        <v>9007199254741372</v>
      </c>
      <c r="Z384">
        <v>0</v>
      </c>
      <c r="AA384" t="s">
        <v>50</v>
      </c>
      <c r="AB384" t="b">
        <v>1</v>
      </c>
      <c r="AD384" s="3">
        <v>0.125</v>
      </c>
      <c r="AE384" s="2">
        <v>45917.5</v>
      </c>
      <c r="AF384" t="s">
        <v>60</v>
      </c>
    </row>
    <row r="385">
      <c r="A385" t="s">
        <v>833</v>
      </c>
      <c r="B385" s="2">
        <v>45916.5</v>
      </c>
      <c r="C385" t="s">
        <v>62</v>
      </c>
      <c r="D385" t="s">
        <f>'客户档案'!B5</f>
        <v>63</v>
      </c>
      <c r="E385" t="s">
        <v>39</v>
      </c>
      <c r="F385" t="s">
        <v>40</v>
      </c>
      <c r="G385" t="s">
        <f>'商品目录'!B3</f>
        <v>41</v>
      </c>
      <c r="H385" t="s">
        <v>42</v>
      </c>
      <c r="I385">
        <v>2</v>
      </c>
      <c r="J385" s="4">
        <v>99</v>
      </c>
      <c r="K385" s="4">
        <f>I385*J385</f>
        <v>198</v>
      </c>
      <c r="L385" s="3">
        <v>0</v>
      </c>
      <c r="M385" s="4">
        <f>K385*L385</f>
        <v>0</v>
      </c>
      <c r="N385" s="4">
        <v>20</v>
      </c>
      <c r="O385" s="4">
        <f>K385-M385+N385</f>
        <v>218</v>
      </c>
      <c r="P385" t="s">
        <v>43</v>
      </c>
      <c r="Q385" t="b">
        <v>0</v>
      </c>
      <c r="R385" t="s">
        <v>44</v>
      </c>
      <c r="S385" t="s">
        <v>68</v>
      </c>
      <c r="T385" t="s">
        <v>69</v>
      </c>
      <c r="U385" t="s">
        <v>39</v>
      </c>
      <c r="V385" t="s">
        <v>63</v>
      </c>
      <c r="W385" t="s">
        <v>834</v>
      </c>
      <c r="X385" t="s">
        <v>0</v>
      </c>
      <c r="Y385">
        <v>9007199254741373</v>
      </c>
      <c r="Z385">
        <v>0</v>
      </c>
      <c r="AA385" t="s">
        <v>63</v>
      </c>
      <c r="AB385" t="b">
        <v>0</v>
      </c>
      <c r="AD385" s="3">
        <v>0.125</v>
      </c>
      <c r="AE385" s="2">
        <v>45918.5</v>
      </c>
      <c r="AF385" t="s">
        <v>60</v>
      </c>
    </row>
    <row r="386">
      <c r="A386" t="s">
        <v>835</v>
      </c>
      <c r="B386" s="2">
        <v>45917.5</v>
      </c>
      <c r="C386" t="s">
        <v>37</v>
      </c>
      <c r="D386" t="s">
        <f>'客户档案'!B3</f>
        <v>38</v>
      </c>
      <c r="E386" t="s">
        <v>51</v>
      </c>
      <c r="F386" t="s">
        <v>52</v>
      </c>
      <c r="G386" t="s">
        <f>'商品目录'!B4</f>
        <v>53</v>
      </c>
      <c r="H386" t="s">
        <v>54</v>
      </c>
      <c r="I386">
        <v>4</v>
      </c>
      <c r="J386" s="4">
        <v>129</v>
      </c>
      <c r="K386" s="4">
        <f>I386*J386</f>
        <v>516</v>
      </c>
      <c r="L386" s="3">
        <v>0.5</v>
      </c>
      <c r="M386" s="4">
        <f>K386*L386</f>
        <v>258</v>
      </c>
      <c r="N386" s="4">
        <v>0</v>
      </c>
      <c r="O386" s="4">
        <f>K386-M386+N386</f>
        <v>258</v>
      </c>
      <c r="P386" t="s">
        <v>43</v>
      </c>
      <c r="Q386" t="b">
        <v>1</v>
      </c>
      <c r="R386" t="s">
        <v>55</v>
      </c>
      <c r="S386" t="s">
        <v>45</v>
      </c>
      <c r="T386" t="s">
        <v>46</v>
      </c>
      <c r="U386" t="s">
        <v>51</v>
      </c>
      <c r="V386" t="s">
        <v>38</v>
      </c>
      <c r="W386" t="s">
        <v>836</v>
      </c>
      <c r="X386" t="s">
        <v>59</v>
      </c>
      <c r="Y386">
        <v>9007199254741374</v>
      </c>
      <c r="Z386">
        <v>0</v>
      </c>
      <c r="AA386" t="s">
        <v>38</v>
      </c>
      <c r="AB386" t="b">
        <v>1</v>
      </c>
      <c r="AD386" s="3">
        <v>0.125</v>
      </c>
      <c r="AE386" s="2">
        <v>45919.5</v>
      </c>
      <c r="AF386" t="s">
        <v>60</v>
      </c>
    </row>
    <row r="387">
      <c r="A387" t="s">
        <v>837</v>
      </c>
      <c r="B387" s="2">
        <v>45918.5</v>
      </c>
      <c r="C387" t="s">
        <v>49</v>
      </c>
      <c r="D387" t="s">
        <f>'客户档案'!B4</f>
        <v>50</v>
      </c>
      <c r="E387" t="s">
        <v>64</v>
      </c>
      <c r="F387" t="s">
        <v>65</v>
      </c>
      <c r="G387" t="s">
        <f>'商品目录'!B5</f>
        <v>66</v>
      </c>
      <c r="H387" t="s">
        <v>67</v>
      </c>
      <c r="I387">
        <v>6</v>
      </c>
      <c r="J387" s="4">
        <v>45</v>
      </c>
      <c r="K387" s="4">
        <f>I387*J387</f>
        <v>270</v>
      </c>
      <c r="L387" s="3">
        <v>0</v>
      </c>
      <c r="M387" s="4">
        <f>K387*L387</f>
        <v>0</v>
      </c>
      <c r="N387" s="4">
        <v>10</v>
      </c>
      <c r="O387" s="4">
        <f>K387-M387+N387</f>
        <v>280</v>
      </c>
      <c r="P387" t="s">
        <v>43</v>
      </c>
      <c r="Q387" t="b">
        <v>1</v>
      </c>
      <c r="R387" t="s">
        <v>55</v>
      </c>
      <c r="S387" t="s">
        <v>56</v>
      </c>
      <c r="T387" t="s">
        <v>57</v>
      </c>
      <c r="U387" t="s">
        <v>70</v>
      </c>
      <c r="V387" t="s">
        <v>50</v>
      </c>
      <c r="W387" t="s">
        <v>838</v>
      </c>
      <c r="X387" t="s">
        <v>72</v>
      </c>
      <c r="Y387">
        <v>9007199254741375</v>
      </c>
      <c r="Z387">
        <v>0</v>
      </c>
      <c r="AA387" t="s">
        <v>50</v>
      </c>
      <c r="AB387" t="b">
        <v>0</v>
      </c>
      <c r="AD387" s="3">
        <v>0.125</v>
      </c>
      <c r="AE387" s="2">
        <v>45920.5</v>
      </c>
      <c r="AF387" t="s">
        <v>60</v>
      </c>
    </row>
    <row r="388">
      <c r="A388" t="s">
        <v>839</v>
      </c>
      <c r="B388" s="2">
        <v>45919.5</v>
      </c>
      <c r="C388" t="s">
        <v>62</v>
      </c>
      <c r="D388" t="s">
        <f>'客户档案'!B5</f>
        <v>63</v>
      </c>
      <c r="E388" t="s">
        <v>74</v>
      </c>
      <c r="F388" t="s">
        <v>75</v>
      </c>
      <c r="G388" t="s">
        <f>'商品目录'!B6</f>
        <v>76</v>
      </c>
      <c r="H388" t="s">
        <v>77</v>
      </c>
      <c r="I388">
        <v>8</v>
      </c>
      <c r="J388" s="4">
        <v>8</v>
      </c>
      <c r="K388" s="4">
        <f>I388*J388</f>
        <v>64</v>
      </c>
      <c r="L388" s="3">
        <v>0.5</v>
      </c>
      <c r="M388" s="4">
        <f>K388*L388</f>
        <v>32</v>
      </c>
      <c r="N388" s="4">
        <v>20</v>
      </c>
      <c r="O388" s="4">
        <f>K388-M388+N388</f>
        <v>52</v>
      </c>
      <c r="P388" t="s">
        <v>43</v>
      </c>
      <c r="Q388" t="b">
        <v>1</v>
      </c>
      <c r="R388" t="s">
        <v>55</v>
      </c>
      <c r="S388" t="s">
        <v>68</v>
      </c>
      <c r="T388" t="s">
        <v>69</v>
      </c>
      <c r="U388" t="s">
        <v>78</v>
      </c>
      <c r="V388" t="s">
        <v>63</v>
      </c>
      <c r="W388" t="s">
        <v>840</v>
      </c>
      <c r="X388" t="s">
        <v>80</v>
      </c>
      <c r="Y388">
        <v>9007199254741376</v>
      </c>
      <c r="Z388">
        <v>0</v>
      </c>
      <c r="AA388" t="s">
        <v>63</v>
      </c>
      <c r="AB388" t="b">
        <v>1</v>
      </c>
      <c r="AD388" s="3">
        <v>0.125</v>
      </c>
      <c r="AE388" s="2">
        <v>45921.5</v>
      </c>
      <c r="AF388" t="s">
        <v>60</v>
      </c>
    </row>
    <row r="389">
      <c r="A389" t="s">
        <v>841</v>
      </c>
      <c r="B389" s="2">
        <v>45920.5</v>
      </c>
      <c r="C389" t="s">
        <v>37</v>
      </c>
      <c r="D389" t="s">
        <f>'客户档案'!B3</f>
        <v>38</v>
      </c>
      <c r="E389" t="s">
        <v>39</v>
      </c>
      <c r="F389" t="s">
        <v>40</v>
      </c>
      <c r="G389" t="s">
        <f>'商品目录'!B3</f>
        <v>41</v>
      </c>
      <c r="H389" t="s">
        <v>42</v>
      </c>
      <c r="I389">
        <v>10</v>
      </c>
      <c r="J389" s="4">
        <v>99</v>
      </c>
      <c r="K389" s="4">
        <f>I389*J389</f>
        <v>990</v>
      </c>
      <c r="L389" s="3">
        <v>0</v>
      </c>
      <c r="M389" s="4">
        <f>K389*L389</f>
        <v>0</v>
      </c>
      <c r="N389" s="4">
        <v>0</v>
      </c>
      <c r="O389" s="4">
        <f>K389-M389+N389</f>
        <v>990</v>
      </c>
      <c r="P389" t="s">
        <v>43</v>
      </c>
      <c r="Q389" t="b">
        <v>0</v>
      </c>
      <c r="R389" t="s">
        <v>44</v>
      </c>
      <c r="S389" t="s">
        <v>45</v>
      </c>
      <c r="T389" t="s">
        <v>46</v>
      </c>
      <c r="U389" t="s">
        <v>39</v>
      </c>
      <c r="V389" t="s">
        <v>38</v>
      </c>
      <c r="W389" t="s">
        <v>842</v>
      </c>
      <c r="X389" t="s">
        <v>0</v>
      </c>
      <c r="Y389">
        <v>9007199254741377</v>
      </c>
      <c r="Z389">
        <v>0</v>
      </c>
      <c r="AA389" t="s">
        <v>38</v>
      </c>
      <c r="AB389" t="b">
        <v>0</v>
      </c>
      <c r="AD389" s="3">
        <v>0.125</v>
      </c>
      <c r="AE389" s="2">
        <v>45922.5</v>
      </c>
      <c r="AF389" t="s">
        <v>60</v>
      </c>
    </row>
    <row r="390">
      <c r="A390" t="s">
        <v>843</v>
      </c>
      <c r="B390" s="2">
        <v>45921.5</v>
      </c>
      <c r="C390" t="s">
        <v>49</v>
      </c>
      <c r="D390" t="s">
        <f>'客户档案'!B4</f>
        <v>50</v>
      </c>
      <c r="E390" t="s">
        <v>51</v>
      </c>
      <c r="F390" t="s">
        <v>52</v>
      </c>
      <c r="G390" t="s">
        <f>'商品目录'!B4</f>
        <v>53</v>
      </c>
      <c r="H390" t="s">
        <v>54</v>
      </c>
      <c r="I390">
        <v>2</v>
      </c>
      <c r="J390" s="4">
        <v>129</v>
      </c>
      <c r="K390" s="4">
        <f>I390*J390</f>
        <v>258</v>
      </c>
      <c r="L390" s="3">
        <v>0.5</v>
      </c>
      <c r="M390" s="4">
        <f>K390*L390</f>
        <v>129</v>
      </c>
      <c r="N390" s="4">
        <v>10</v>
      </c>
      <c r="O390" s="4">
        <f>K390-M390+N390</f>
        <v>139</v>
      </c>
      <c r="P390" t="s">
        <v>43</v>
      </c>
      <c r="Q390" t="b">
        <v>1</v>
      </c>
      <c r="R390" t="s">
        <v>55</v>
      </c>
      <c r="S390" t="s">
        <v>56</v>
      </c>
      <c r="T390" t="s">
        <v>57</v>
      </c>
      <c r="U390" t="s">
        <v>51</v>
      </c>
      <c r="V390" t="s">
        <v>50</v>
      </c>
      <c r="W390" t="s">
        <v>844</v>
      </c>
      <c r="X390" t="s">
        <v>59</v>
      </c>
      <c r="Y390">
        <v>9007199254741378</v>
      </c>
      <c r="Z390">
        <v>0</v>
      </c>
      <c r="AA390" t="s">
        <v>50</v>
      </c>
      <c r="AB390" t="b">
        <v>1</v>
      </c>
      <c r="AD390" s="3">
        <v>0.125</v>
      </c>
      <c r="AE390" s="2">
        <v>45923.5</v>
      </c>
      <c r="AF390" t="s">
        <v>60</v>
      </c>
    </row>
    <row r="391">
      <c r="A391" t="s">
        <v>845</v>
      </c>
      <c r="B391" s="2">
        <v>45922.5</v>
      </c>
      <c r="C391" t="s">
        <v>62</v>
      </c>
      <c r="D391" t="s">
        <f>'客户档案'!B5</f>
        <v>63</v>
      </c>
      <c r="E391" t="s">
        <v>64</v>
      </c>
      <c r="F391" t="s">
        <v>65</v>
      </c>
      <c r="G391" t="s">
        <f>'商品目录'!B5</f>
        <v>66</v>
      </c>
      <c r="H391" t="s">
        <v>67</v>
      </c>
      <c r="I391">
        <v>4</v>
      </c>
      <c r="J391" s="4">
        <v>45</v>
      </c>
      <c r="K391" s="4">
        <f>I391*J391</f>
        <v>180</v>
      </c>
      <c r="L391" s="3">
        <v>0</v>
      </c>
      <c r="M391" s="4">
        <f>K391*L391</f>
        <v>0</v>
      </c>
      <c r="N391" s="4">
        <v>20</v>
      </c>
      <c r="O391" s="4">
        <f>K391-M391+N391</f>
        <v>200</v>
      </c>
      <c r="P391" t="s">
        <v>43</v>
      </c>
      <c r="Q391" t="b">
        <v>1</v>
      </c>
      <c r="R391" t="s">
        <v>55</v>
      </c>
      <c r="S391" t="s">
        <v>68</v>
      </c>
      <c r="T391" t="s">
        <v>69</v>
      </c>
      <c r="U391" t="s">
        <v>70</v>
      </c>
      <c r="V391" t="s">
        <v>63</v>
      </c>
      <c r="W391" t="s">
        <v>846</v>
      </c>
      <c r="X391" t="s">
        <v>72</v>
      </c>
      <c r="Y391">
        <v>9007199254741379</v>
      </c>
      <c r="Z391">
        <v>0</v>
      </c>
      <c r="AA391" t="s">
        <v>63</v>
      </c>
      <c r="AB391" t="b">
        <v>0</v>
      </c>
      <c r="AD391" s="3">
        <v>0.125</v>
      </c>
      <c r="AE391" s="2">
        <v>45924.5</v>
      </c>
      <c r="AF391" t="s">
        <v>60</v>
      </c>
    </row>
    <row r="392">
      <c r="A392" t="s">
        <v>847</v>
      </c>
      <c r="B392" s="2">
        <v>45923.5</v>
      </c>
      <c r="C392" t="s">
        <v>37</v>
      </c>
      <c r="D392" t="s">
        <f>'客户档案'!B3</f>
        <v>38</v>
      </c>
      <c r="E392" t="s">
        <v>74</v>
      </c>
      <c r="F392" t="s">
        <v>75</v>
      </c>
      <c r="G392" t="s">
        <f>'商品目录'!B6</f>
        <v>76</v>
      </c>
      <c r="H392" t="s">
        <v>77</v>
      </c>
      <c r="I392">
        <v>6</v>
      </c>
      <c r="J392" s="4">
        <v>8</v>
      </c>
      <c r="K392" s="4">
        <f>I392*J392</f>
        <v>48</v>
      </c>
      <c r="L392" s="3">
        <v>0.5</v>
      </c>
      <c r="M392" s="4">
        <f>K392*L392</f>
        <v>24</v>
      </c>
      <c r="N392" s="4">
        <v>0</v>
      </c>
      <c r="O392" s="4">
        <f>K392-M392+N392</f>
        <v>24</v>
      </c>
      <c r="P392" t="s">
        <v>43</v>
      </c>
      <c r="Q392" t="b">
        <v>1</v>
      </c>
      <c r="R392" t="s">
        <v>55</v>
      </c>
      <c r="S392" t="s">
        <v>45</v>
      </c>
      <c r="T392" t="s">
        <v>46</v>
      </c>
      <c r="U392" t="s">
        <v>78</v>
      </c>
      <c r="V392" t="s">
        <v>38</v>
      </c>
      <c r="W392" t="s">
        <v>848</v>
      </c>
      <c r="X392" t="s">
        <v>80</v>
      </c>
      <c r="Y392">
        <v>9007199254741380</v>
      </c>
      <c r="Z392">
        <v>0</v>
      </c>
      <c r="AA392" t="s">
        <v>38</v>
      </c>
      <c r="AB392" t="b">
        <v>1</v>
      </c>
      <c r="AD392" s="3">
        <v>0.125</v>
      </c>
      <c r="AE392" s="2">
        <v>45925.5</v>
      </c>
      <c r="AF392" t="s">
        <v>60</v>
      </c>
    </row>
    <row r="393">
      <c r="A393" t="s">
        <v>849</v>
      </c>
      <c r="B393" s="2">
        <v>45924.5</v>
      </c>
      <c r="C393" t="s">
        <v>49</v>
      </c>
      <c r="D393" t="s">
        <f>'客户档案'!B4</f>
        <v>50</v>
      </c>
      <c r="E393" t="s">
        <v>39</v>
      </c>
      <c r="F393" t="s">
        <v>40</v>
      </c>
      <c r="G393" t="s">
        <f>'商品目录'!B3</f>
        <v>41</v>
      </c>
      <c r="H393" t="s">
        <v>42</v>
      </c>
      <c r="I393">
        <v>8</v>
      </c>
      <c r="J393" s="4">
        <v>99</v>
      </c>
      <c r="K393" s="4">
        <f>I393*J393</f>
        <v>792</v>
      </c>
      <c r="L393" s="3">
        <v>0</v>
      </c>
      <c r="M393" s="4">
        <f>K393*L393</f>
        <v>0</v>
      </c>
      <c r="N393" s="4">
        <v>10</v>
      </c>
      <c r="O393" s="4">
        <f>K393-M393+N393</f>
        <v>802</v>
      </c>
      <c r="P393" t="s">
        <v>43</v>
      </c>
      <c r="Q393" t="b">
        <v>0</v>
      </c>
      <c r="R393" t="s">
        <v>44</v>
      </c>
      <c r="S393" t="s">
        <v>56</v>
      </c>
      <c r="T393" t="s">
        <v>57</v>
      </c>
      <c r="U393" t="s">
        <v>39</v>
      </c>
      <c r="V393" t="s">
        <v>50</v>
      </c>
      <c r="W393" t="s">
        <v>850</v>
      </c>
      <c r="X393" t="s">
        <v>0</v>
      </c>
      <c r="Y393">
        <v>9007199254741381</v>
      </c>
      <c r="Z393">
        <v>0</v>
      </c>
      <c r="AA393" t="s">
        <v>50</v>
      </c>
      <c r="AB393" t="b">
        <v>0</v>
      </c>
      <c r="AD393" s="3">
        <v>0.125</v>
      </c>
      <c r="AE393" s="2">
        <v>45926.5</v>
      </c>
      <c r="AF393" t="s">
        <v>60</v>
      </c>
    </row>
    <row r="394">
      <c r="A394" t="s">
        <v>851</v>
      </c>
      <c r="B394" s="2">
        <v>45925.5</v>
      </c>
      <c r="C394" t="s">
        <v>62</v>
      </c>
      <c r="D394" t="s">
        <f>'客户档案'!B5</f>
        <v>63</v>
      </c>
      <c r="E394" t="s">
        <v>51</v>
      </c>
      <c r="F394" t="s">
        <v>52</v>
      </c>
      <c r="G394" t="s">
        <f>'商品目录'!B4</f>
        <v>53</v>
      </c>
      <c r="H394" t="s">
        <v>54</v>
      </c>
      <c r="I394">
        <v>10</v>
      </c>
      <c r="J394" s="4">
        <v>129</v>
      </c>
      <c r="K394" s="4">
        <f>I394*J394</f>
        <v>1290</v>
      </c>
      <c r="L394" s="3">
        <v>0.5</v>
      </c>
      <c r="M394" s="4">
        <f>K394*L394</f>
        <v>645</v>
      </c>
      <c r="N394" s="4">
        <v>20</v>
      </c>
      <c r="O394" s="4">
        <f>K394-M394+N394</f>
        <v>665</v>
      </c>
      <c r="P394" t="s">
        <v>43</v>
      </c>
      <c r="Q394" t="b">
        <v>1</v>
      </c>
      <c r="R394" t="s">
        <v>55</v>
      </c>
      <c r="S394" t="s">
        <v>68</v>
      </c>
      <c r="T394" t="s">
        <v>69</v>
      </c>
      <c r="U394" t="s">
        <v>51</v>
      </c>
      <c r="V394" t="s">
        <v>63</v>
      </c>
      <c r="W394" t="s">
        <v>852</v>
      </c>
      <c r="X394" t="s">
        <v>59</v>
      </c>
      <c r="Y394">
        <v>9007199254741382</v>
      </c>
      <c r="Z394">
        <v>0</v>
      </c>
      <c r="AA394" t="s">
        <v>63</v>
      </c>
      <c r="AB394" t="b">
        <v>1</v>
      </c>
      <c r="AD394" s="3">
        <v>0.125</v>
      </c>
      <c r="AE394" s="2">
        <v>45927.5</v>
      </c>
      <c r="AF394" t="s">
        <v>60</v>
      </c>
    </row>
    <row r="395">
      <c r="A395" t="s">
        <v>853</v>
      </c>
      <c r="B395" s="2">
        <v>45926.5</v>
      </c>
      <c r="C395" t="s">
        <v>37</v>
      </c>
      <c r="D395" t="s">
        <f>'客户档案'!B3</f>
        <v>38</v>
      </c>
      <c r="E395" t="s">
        <v>64</v>
      </c>
      <c r="F395" t="s">
        <v>65</v>
      </c>
      <c r="G395" t="s">
        <f>'商品目录'!B5</f>
        <v>66</v>
      </c>
      <c r="H395" t="s">
        <v>67</v>
      </c>
      <c r="I395">
        <v>2</v>
      </c>
      <c r="J395" s="4">
        <v>45</v>
      </c>
      <c r="K395" s="4">
        <f>I395*J395</f>
        <v>90</v>
      </c>
      <c r="L395" s="3">
        <v>0</v>
      </c>
      <c r="M395" s="4">
        <f>K395*L395</f>
        <v>0</v>
      </c>
      <c r="N395" s="4">
        <v>0</v>
      </c>
      <c r="O395" s="4">
        <f>K395-M395+N395</f>
        <v>90</v>
      </c>
      <c r="P395" t="s">
        <v>43</v>
      </c>
      <c r="Q395" t="b">
        <v>1</v>
      </c>
      <c r="R395" t="s">
        <v>55</v>
      </c>
      <c r="S395" t="s">
        <v>45</v>
      </c>
      <c r="T395" t="s">
        <v>46</v>
      </c>
      <c r="U395" t="s">
        <v>70</v>
      </c>
      <c r="V395" t="s">
        <v>38</v>
      </c>
      <c r="W395" t="s">
        <v>854</v>
      </c>
      <c r="X395" t="s">
        <v>72</v>
      </c>
      <c r="Y395">
        <v>9007199254741383</v>
      </c>
      <c r="Z395">
        <v>0</v>
      </c>
      <c r="AA395" t="s">
        <v>38</v>
      </c>
      <c r="AB395" t="b">
        <v>0</v>
      </c>
      <c r="AD395" s="3">
        <v>0.125</v>
      </c>
      <c r="AE395" s="2">
        <v>45928.5</v>
      </c>
      <c r="AF395" t="s">
        <v>60</v>
      </c>
    </row>
    <row r="396">
      <c r="A396" t="s">
        <v>855</v>
      </c>
      <c r="B396" s="2">
        <v>45927.5</v>
      </c>
      <c r="C396" t="s">
        <v>49</v>
      </c>
      <c r="D396" t="s">
        <f>'客户档案'!B4</f>
        <v>50</v>
      </c>
      <c r="E396" t="s">
        <v>74</v>
      </c>
      <c r="F396" t="s">
        <v>75</v>
      </c>
      <c r="G396" t="s">
        <f>'商品目录'!B6</f>
        <v>76</v>
      </c>
      <c r="H396" t="s">
        <v>77</v>
      </c>
      <c r="I396">
        <v>4</v>
      </c>
      <c r="J396" s="4">
        <v>8</v>
      </c>
      <c r="K396" s="4">
        <f>I396*J396</f>
        <v>32</v>
      </c>
      <c r="L396" s="3">
        <v>0.5</v>
      </c>
      <c r="M396" s="4">
        <f>K396*L396</f>
        <v>16</v>
      </c>
      <c r="N396" s="4">
        <v>10</v>
      </c>
      <c r="O396" s="4">
        <f>K396-M396+N396</f>
        <v>26</v>
      </c>
      <c r="P396" t="s">
        <v>43</v>
      </c>
      <c r="Q396" t="b">
        <v>1</v>
      </c>
      <c r="R396" t="s">
        <v>55</v>
      </c>
      <c r="S396" t="s">
        <v>56</v>
      </c>
      <c r="T396" t="s">
        <v>57</v>
      </c>
      <c r="U396" t="s">
        <v>78</v>
      </c>
      <c r="V396" t="s">
        <v>50</v>
      </c>
      <c r="W396" t="s">
        <v>856</v>
      </c>
      <c r="X396" t="s">
        <v>80</v>
      </c>
      <c r="Y396">
        <v>9007199254741384</v>
      </c>
      <c r="Z396">
        <v>2</v>
      </c>
      <c r="AA396" t="s">
        <v>50</v>
      </c>
      <c r="AB396" t="b">
        <v>1</v>
      </c>
      <c r="AD396" s="3">
        <v>0.125</v>
      </c>
      <c r="AE396" s="2">
        <v>45929.5</v>
      </c>
      <c r="AF396" t="s">
        <v>60</v>
      </c>
    </row>
    <row r="397">
      <c r="A397" t="s">
        <v>857</v>
      </c>
      <c r="B397" s="2">
        <v>45900.5</v>
      </c>
      <c r="C397" t="s">
        <v>62</v>
      </c>
      <c r="D397" t="s">
        <f>'客户档案'!B5</f>
        <v>63</v>
      </c>
      <c r="E397" t="s">
        <v>39</v>
      </c>
      <c r="F397" t="s">
        <v>40</v>
      </c>
      <c r="G397" t="s">
        <f>'商品目录'!B3</f>
        <v>41</v>
      </c>
      <c r="H397" t="s">
        <v>42</v>
      </c>
      <c r="I397">
        <v>6</v>
      </c>
      <c r="J397" s="4">
        <v>99</v>
      </c>
      <c r="K397" s="4">
        <f>I397*J397</f>
        <v>594</v>
      </c>
      <c r="L397" s="3">
        <v>0</v>
      </c>
      <c r="M397" s="4">
        <f>K397*L397</f>
        <v>0</v>
      </c>
      <c r="N397" s="4">
        <v>20</v>
      </c>
      <c r="O397" s="4">
        <f>K397-M397+N397</f>
        <v>614</v>
      </c>
      <c r="P397" t="s">
        <v>43</v>
      </c>
      <c r="Q397" t="b">
        <v>0</v>
      </c>
      <c r="R397" t="s">
        <v>44</v>
      </c>
      <c r="S397" t="s">
        <v>68</v>
      </c>
      <c r="T397" t="s">
        <v>69</v>
      </c>
      <c r="U397" t="s">
        <v>39</v>
      </c>
      <c r="V397" t="s">
        <v>63</v>
      </c>
      <c r="W397" t="s">
        <v>858</v>
      </c>
      <c r="X397" t="s">
        <v>0</v>
      </c>
      <c r="Y397">
        <v>9007199254741385</v>
      </c>
      <c r="Z397">
        <v>0</v>
      </c>
      <c r="AA397" t="s">
        <v>63</v>
      </c>
      <c r="AB397" t="b">
        <v>0</v>
      </c>
      <c r="AD397" s="3">
        <v>0.125</v>
      </c>
      <c r="AE397" s="2">
        <v>45902.5</v>
      </c>
      <c r="AF397" t="s">
        <v>60</v>
      </c>
    </row>
    <row r="398">
      <c r="A398" t="s">
        <v>859</v>
      </c>
      <c r="B398" s="2">
        <v>45901.5</v>
      </c>
      <c r="C398" t="s">
        <v>37</v>
      </c>
      <c r="D398" t="s">
        <f>'客户档案'!B3</f>
        <v>38</v>
      </c>
      <c r="E398" t="s">
        <v>51</v>
      </c>
      <c r="F398" t="s">
        <v>52</v>
      </c>
      <c r="G398" t="s">
        <f>'商品目录'!B4</f>
        <v>53</v>
      </c>
      <c r="H398" t="s">
        <v>54</v>
      </c>
      <c r="I398">
        <v>8</v>
      </c>
      <c r="J398" s="4">
        <v>129</v>
      </c>
      <c r="K398" s="4">
        <f>I398*J398</f>
        <v>1032</v>
      </c>
      <c r="L398" s="3">
        <v>0.5</v>
      </c>
      <c r="M398" s="4">
        <f>K398*L398</f>
        <v>516</v>
      </c>
      <c r="N398" s="4">
        <v>0</v>
      </c>
      <c r="O398" s="4">
        <f>K398-M398+N398</f>
        <v>516</v>
      </c>
      <c r="P398" t="s">
        <v>43</v>
      </c>
      <c r="Q398" t="b">
        <v>1</v>
      </c>
      <c r="R398" t="s">
        <v>55</v>
      </c>
      <c r="S398" t="s">
        <v>45</v>
      </c>
      <c r="T398" t="s">
        <v>46</v>
      </c>
      <c r="U398" t="s">
        <v>51</v>
      </c>
      <c r="V398" t="s">
        <v>38</v>
      </c>
      <c r="W398" t="s">
        <v>860</v>
      </c>
      <c r="X398" t="s">
        <v>59</v>
      </c>
      <c r="Y398">
        <v>9007199254741386</v>
      </c>
      <c r="Z398">
        <v>0</v>
      </c>
      <c r="AA398" t="s">
        <v>38</v>
      </c>
      <c r="AB398" t="b">
        <v>1</v>
      </c>
      <c r="AD398" s="3">
        <v>0.125</v>
      </c>
      <c r="AE398" s="2">
        <v>45903.5</v>
      </c>
      <c r="AF398" t="s">
        <v>60</v>
      </c>
    </row>
    <row r="399">
      <c r="A399" t="s">
        <v>861</v>
      </c>
      <c r="B399" s="2">
        <v>45902.5</v>
      </c>
      <c r="C399" t="s">
        <v>49</v>
      </c>
      <c r="D399" t="s">
        <f>'客户档案'!B4</f>
        <v>50</v>
      </c>
      <c r="E399" t="s">
        <v>64</v>
      </c>
      <c r="F399" t="s">
        <v>65</v>
      </c>
      <c r="G399" t="s">
        <f>'商品目录'!B5</f>
        <v>66</v>
      </c>
      <c r="H399" t="s">
        <v>67</v>
      </c>
      <c r="I399">
        <v>10</v>
      </c>
      <c r="J399" s="4">
        <v>45</v>
      </c>
      <c r="K399" s="4">
        <f>I399*J399</f>
        <v>450</v>
      </c>
      <c r="L399" s="3">
        <v>0</v>
      </c>
      <c r="M399" s="4">
        <f>K399*L399</f>
        <v>0</v>
      </c>
      <c r="N399" s="4">
        <v>10</v>
      </c>
      <c r="O399" s="4">
        <f>K399-M399+N399</f>
        <v>460</v>
      </c>
      <c r="P399" t="s">
        <v>43</v>
      </c>
      <c r="Q399" t="b">
        <v>1</v>
      </c>
      <c r="R399" t="s">
        <v>55</v>
      </c>
      <c r="S399" t="s">
        <v>56</v>
      </c>
      <c r="T399" t="s">
        <v>57</v>
      </c>
      <c r="U399" t="s">
        <v>70</v>
      </c>
      <c r="V399" t="s">
        <v>50</v>
      </c>
      <c r="W399" t="s">
        <v>862</v>
      </c>
      <c r="X399" t="s">
        <v>72</v>
      </c>
      <c r="Y399">
        <v>9007199254741387</v>
      </c>
      <c r="Z399">
        <v>0</v>
      </c>
      <c r="AA399" t="s">
        <v>50</v>
      </c>
      <c r="AB399" t="b">
        <v>0</v>
      </c>
      <c r="AD399" s="3">
        <v>0.125</v>
      </c>
      <c r="AE399" s="2">
        <v>45904.5</v>
      </c>
      <c r="AF399" t="s">
        <v>60</v>
      </c>
    </row>
    <row r="400">
      <c r="A400" t="s">
        <v>863</v>
      </c>
      <c r="B400" s="2">
        <v>45903.5</v>
      </c>
      <c r="C400" t="s">
        <v>62</v>
      </c>
      <c r="D400" t="s">
        <f>'客户档案'!B5</f>
        <v>63</v>
      </c>
      <c r="E400" t="s">
        <v>74</v>
      </c>
      <c r="F400" t="s">
        <v>75</v>
      </c>
      <c r="G400" t="s">
        <f>'商品目录'!B6</f>
        <v>76</v>
      </c>
      <c r="H400" t="s">
        <v>77</v>
      </c>
      <c r="I400">
        <v>2</v>
      </c>
      <c r="J400" s="4">
        <v>8</v>
      </c>
      <c r="K400" s="4">
        <f>I400*J400</f>
        <v>16</v>
      </c>
      <c r="L400" s="3">
        <v>0.5</v>
      </c>
      <c r="M400" s="4">
        <f>K400*L400</f>
        <v>8</v>
      </c>
      <c r="N400" s="4">
        <v>20</v>
      </c>
      <c r="O400" s="4">
        <f>K400-M400+N400</f>
        <v>28</v>
      </c>
      <c r="P400" t="s">
        <v>43</v>
      </c>
      <c r="Q400" t="b">
        <v>1</v>
      </c>
      <c r="R400" t="s">
        <v>55</v>
      </c>
      <c r="S400" t="s">
        <v>68</v>
      </c>
      <c r="T400" t="s">
        <v>69</v>
      </c>
      <c r="U400" t="s">
        <v>78</v>
      </c>
      <c r="V400" t="s">
        <v>63</v>
      </c>
      <c r="W400" t="s">
        <v>864</v>
      </c>
      <c r="X400" t="s">
        <v>80</v>
      </c>
      <c r="Y400">
        <v>9007199254741388</v>
      </c>
      <c r="Z400">
        <v>0</v>
      </c>
      <c r="AA400" t="s">
        <v>63</v>
      </c>
      <c r="AB400" t="b">
        <v>1</v>
      </c>
      <c r="AD400" s="3">
        <v>0.125</v>
      </c>
      <c r="AE400" s="2">
        <v>45905.5</v>
      </c>
      <c r="AF400" t="s">
        <v>60</v>
      </c>
    </row>
    <row r="401">
      <c r="A401" t="s">
        <v>865</v>
      </c>
      <c r="B401" s="2">
        <v>45904.5</v>
      </c>
      <c r="C401" t="s">
        <v>37</v>
      </c>
      <c r="D401" t="s">
        <f>'客户档案'!B3</f>
        <v>38</v>
      </c>
      <c r="E401" t="s">
        <v>39</v>
      </c>
      <c r="F401" t="s">
        <v>40</v>
      </c>
      <c r="G401" t="s">
        <f>'商品目录'!B3</f>
        <v>41</v>
      </c>
      <c r="H401" t="s">
        <v>42</v>
      </c>
      <c r="I401">
        <v>4</v>
      </c>
      <c r="J401" s="4">
        <v>99</v>
      </c>
      <c r="K401" s="4">
        <f>I401*J401</f>
        <v>396</v>
      </c>
      <c r="L401" s="3">
        <v>0</v>
      </c>
      <c r="M401" s="4">
        <f>K401*L401</f>
        <v>0</v>
      </c>
      <c r="N401" s="4">
        <v>0</v>
      </c>
      <c r="O401" s="4">
        <f>K401-M401+N401</f>
        <v>396</v>
      </c>
      <c r="P401" t="s">
        <v>43</v>
      </c>
      <c r="Q401" t="b">
        <v>0</v>
      </c>
      <c r="R401" t="s">
        <v>44</v>
      </c>
      <c r="S401" t="s">
        <v>45</v>
      </c>
      <c r="T401" t="s">
        <v>46</v>
      </c>
      <c r="U401" t="s">
        <v>39</v>
      </c>
      <c r="V401" t="s">
        <v>38</v>
      </c>
      <c r="W401" t="s">
        <v>866</v>
      </c>
      <c r="X401" t="s">
        <v>0</v>
      </c>
      <c r="Y401">
        <v>9007199254741389</v>
      </c>
      <c r="Z401">
        <v>0</v>
      </c>
      <c r="AA401" t="s">
        <v>38</v>
      </c>
      <c r="AB401" t="b">
        <v>0</v>
      </c>
      <c r="AD401" s="3">
        <v>0.125</v>
      </c>
      <c r="AE401" s="2">
        <v>45906.5</v>
      </c>
      <c r="AF401" t="s">
        <v>60</v>
      </c>
    </row>
    <row r="402">
      <c r="A402" t="s">
        <v>867</v>
      </c>
      <c r="B402" s="2">
        <v>45905.5</v>
      </c>
      <c r="C402" t="s">
        <v>49</v>
      </c>
      <c r="D402" t="s">
        <f>'客户档案'!B4</f>
        <v>50</v>
      </c>
      <c r="E402" t="s">
        <v>51</v>
      </c>
      <c r="F402" t="s">
        <v>52</v>
      </c>
      <c r="G402" t="s">
        <f>'商品目录'!B4</f>
        <v>53</v>
      </c>
      <c r="H402" t="s">
        <v>54</v>
      </c>
      <c r="I402">
        <v>6</v>
      </c>
      <c r="J402" s="4">
        <v>129</v>
      </c>
      <c r="K402" s="4">
        <f>I402*J402</f>
        <v>774</v>
      </c>
      <c r="L402" s="3">
        <v>0.5</v>
      </c>
      <c r="M402" s="4">
        <f>K402*L402</f>
        <v>387</v>
      </c>
      <c r="N402" s="4">
        <v>10</v>
      </c>
      <c r="O402" s="4">
        <f>K402-M402+N402</f>
        <v>397</v>
      </c>
      <c r="P402" t="s">
        <v>43</v>
      </c>
      <c r="Q402" t="b">
        <v>1</v>
      </c>
      <c r="R402" t="s">
        <v>55</v>
      </c>
      <c r="S402" t="s">
        <v>56</v>
      </c>
      <c r="T402" t="s">
        <v>57</v>
      </c>
      <c r="U402" t="s">
        <v>51</v>
      </c>
      <c r="V402" t="s">
        <v>50</v>
      </c>
      <c r="W402" t="s">
        <v>868</v>
      </c>
      <c r="X402" t="s">
        <v>59</v>
      </c>
      <c r="Y402">
        <v>9007199254741390</v>
      </c>
      <c r="Z402">
        <v>0</v>
      </c>
      <c r="AA402" t="s">
        <v>50</v>
      </c>
      <c r="AB402" t="b">
        <v>1</v>
      </c>
      <c r="AD402" s="3">
        <v>0.125</v>
      </c>
      <c r="AE402" s="2">
        <v>45907.5</v>
      </c>
      <c r="AF402" t="s">
        <v>60</v>
      </c>
    </row>
    <row r="403">
      <c r="A403" t="s">
        <v>869</v>
      </c>
      <c r="B403" s="2">
        <v>45906.5</v>
      </c>
      <c r="C403" t="s">
        <v>62</v>
      </c>
      <c r="D403" t="s">
        <f>'客户档案'!B5</f>
        <v>63</v>
      </c>
      <c r="E403" t="s">
        <v>64</v>
      </c>
      <c r="F403" t="s">
        <v>65</v>
      </c>
      <c r="G403" t="s">
        <f>'商品目录'!B5</f>
        <v>66</v>
      </c>
      <c r="H403" t="s">
        <v>67</v>
      </c>
      <c r="I403">
        <v>8</v>
      </c>
      <c r="J403" s="4">
        <v>45</v>
      </c>
      <c r="K403" s="4">
        <f>I403*J403</f>
        <v>360</v>
      </c>
      <c r="L403" s="3">
        <v>0</v>
      </c>
      <c r="M403" s="4">
        <f>K403*L403</f>
        <v>0</v>
      </c>
      <c r="N403" s="4">
        <v>20</v>
      </c>
      <c r="O403" s="4">
        <f>K403-M403+N403</f>
        <v>380</v>
      </c>
      <c r="P403" t="s">
        <v>43</v>
      </c>
      <c r="Q403" t="b">
        <v>1</v>
      </c>
      <c r="R403" t="s">
        <v>55</v>
      </c>
      <c r="S403" t="s">
        <v>68</v>
      </c>
      <c r="T403" t="s">
        <v>69</v>
      </c>
      <c r="U403" t="s">
        <v>70</v>
      </c>
      <c r="V403" t="s">
        <v>63</v>
      </c>
      <c r="W403" t="s">
        <v>870</v>
      </c>
      <c r="X403" t="s">
        <v>72</v>
      </c>
      <c r="Y403">
        <v>9007199254741391</v>
      </c>
      <c r="Z403">
        <v>0</v>
      </c>
      <c r="AA403" t="s">
        <v>63</v>
      </c>
      <c r="AB403" t="b">
        <v>0</v>
      </c>
      <c r="AD403" s="3">
        <v>0.125</v>
      </c>
      <c r="AE403" s="2">
        <v>45908.5</v>
      </c>
      <c r="AF403" t="s">
        <v>60</v>
      </c>
    </row>
    <row r="404" hidden="1">
      <c r="A404" t="s">
        <v>871</v>
      </c>
      <c r="B404" s="2">
        <v>45907.5</v>
      </c>
      <c r="C404" t="s">
        <v>37</v>
      </c>
      <c r="D404" t="s">
        <f>'客户档案'!B3</f>
        <v>38</v>
      </c>
      <c r="E404" t="s">
        <v>74</v>
      </c>
      <c r="F404" t="s">
        <v>75</v>
      </c>
      <c r="G404" t="s">
        <f>'商品目录'!B6</f>
        <v>76</v>
      </c>
      <c r="H404" t="s">
        <v>77</v>
      </c>
      <c r="I404">
        <v>10</v>
      </c>
      <c r="J404" s="4">
        <v>8</v>
      </c>
      <c r="K404" s="4">
        <f>I404*J404</f>
        <v>80</v>
      </c>
      <c r="L404" s="3">
        <v>0.5</v>
      </c>
      <c r="M404" s="4">
        <f>K404*L404</f>
        <v>40</v>
      </c>
      <c r="N404" s="4">
        <v>0</v>
      </c>
      <c r="O404" s="4">
        <f>K404-M404+N404</f>
        <v>40</v>
      </c>
      <c r="P404" t="s">
        <v>43</v>
      </c>
      <c r="Q404" t="b">
        <v>1</v>
      </c>
      <c r="R404" t="s">
        <v>55</v>
      </c>
      <c r="S404" t="s">
        <v>45</v>
      </c>
      <c r="T404" t="s">
        <v>46</v>
      </c>
      <c r="U404" t="s">
        <v>78</v>
      </c>
      <c r="V404" t="s">
        <v>38</v>
      </c>
      <c r="W404" t="s">
        <v>872</v>
      </c>
      <c r="X404" t="s">
        <v>80</v>
      </c>
      <c r="Y404">
        <v>9007199254741392</v>
      </c>
      <c r="Z404">
        <v>0</v>
      </c>
      <c r="AA404" t="s">
        <v>38</v>
      </c>
      <c r="AB404" t="b">
        <v>1</v>
      </c>
      <c r="AD404" s="3">
        <v>0.125</v>
      </c>
      <c r="AE404" s="2">
        <v>45909.5</v>
      </c>
      <c r="AF404" t="s">
        <v>60</v>
      </c>
    </row>
    <row r="406">
      <c r="A406" t="s">
        <v>873</v>
      </c>
      <c r="B406" s="2">
        <v>45908.5</v>
      </c>
      <c r="C406" t="s">
        <v>49</v>
      </c>
      <c r="D406" t="s">
        <f>'客户档案'!B4</f>
        <v>50</v>
      </c>
      <c r="E406" t="s">
        <v>39</v>
      </c>
      <c r="F406" t="s">
        <v>40</v>
      </c>
      <c r="G406" t="s">
        <f>'商品目录'!B3</f>
        <v>41</v>
      </c>
      <c r="H406" t="s">
        <v>42</v>
      </c>
      <c r="I406">
        <v>2</v>
      </c>
      <c r="J406" s="4">
        <v>99</v>
      </c>
      <c r="K406" s="4">
        <f>I406*J406</f>
        <v>198</v>
      </c>
      <c r="L406" s="3">
        <v>0</v>
      </c>
      <c r="M406" s="4">
        <f>K406*L406</f>
        <v>0</v>
      </c>
      <c r="N406" s="4">
        <v>10</v>
      </c>
      <c r="O406" s="4">
        <f>K406-M406+N406</f>
        <v>208</v>
      </c>
      <c r="P406" t="s">
        <v>43</v>
      </c>
      <c r="Q406" t="b">
        <v>0</v>
      </c>
      <c r="R406" t="s">
        <v>44</v>
      </c>
      <c r="S406" t="s">
        <v>56</v>
      </c>
      <c r="T406" t="s">
        <v>57</v>
      </c>
      <c r="U406" t="s">
        <v>39</v>
      </c>
      <c r="V406" t="s">
        <v>50</v>
      </c>
      <c r="W406" t="s">
        <v>874</v>
      </c>
      <c r="X406" t="s">
        <v>0</v>
      </c>
      <c r="Y406">
        <v>9007199254741393</v>
      </c>
      <c r="Z406">
        <v>0</v>
      </c>
      <c r="AA406" t="s">
        <v>50</v>
      </c>
      <c r="AB406" t="b">
        <v>0</v>
      </c>
      <c r="AD406" s="3">
        <v>0.125</v>
      </c>
      <c r="AE406" s="2">
        <v>45910.5</v>
      </c>
      <c r="AF406" t="s">
        <v>60</v>
      </c>
    </row>
    <row r="407">
      <c r="A407" t="s">
        <v>875</v>
      </c>
      <c r="B407" s="2">
        <v>45909.5</v>
      </c>
      <c r="C407" t="s">
        <v>62</v>
      </c>
      <c r="D407" t="s">
        <f>'客户档案'!B5</f>
        <v>63</v>
      </c>
      <c r="E407" t="s">
        <v>51</v>
      </c>
      <c r="F407" t="s">
        <v>52</v>
      </c>
      <c r="G407" t="s">
        <f>'商品目录'!B4</f>
        <v>53</v>
      </c>
      <c r="H407" t="s">
        <v>54</v>
      </c>
      <c r="I407">
        <v>4</v>
      </c>
      <c r="J407" s="4">
        <v>129</v>
      </c>
      <c r="K407" s="4">
        <f>I407*J407</f>
        <v>516</v>
      </c>
      <c r="L407" s="3">
        <v>0.5</v>
      </c>
      <c r="M407" s="4">
        <f>K407*L407</f>
        <v>258</v>
      </c>
      <c r="N407" s="4">
        <v>20</v>
      </c>
      <c r="O407" s="4">
        <f>K407-M407+N407</f>
        <v>278</v>
      </c>
      <c r="P407" t="s">
        <v>43</v>
      </c>
      <c r="Q407" t="b">
        <v>1</v>
      </c>
      <c r="R407" t="s">
        <v>55</v>
      </c>
      <c r="S407" t="s">
        <v>68</v>
      </c>
      <c r="T407" t="s">
        <v>69</v>
      </c>
      <c r="U407" t="s">
        <v>51</v>
      </c>
      <c r="V407" t="s">
        <v>63</v>
      </c>
      <c r="W407" t="s">
        <v>876</v>
      </c>
      <c r="X407" t="s">
        <v>59</v>
      </c>
      <c r="Y407">
        <v>9007199254741394</v>
      </c>
      <c r="Z407">
        <v>0</v>
      </c>
      <c r="AA407" t="s">
        <v>63</v>
      </c>
      <c r="AB407" t="b">
        <v>1</v>
      </c>
      <c r="AD407" s="3">
        <v>0.125</v>
      </c>
      <c r="AE407" s="2">
        <v>45911.5</v>
      </c>
      <c r="AF407" t="s">
        <v>60</v>
      </c>
    </row>
    <row r="408">
      <c r="A408" t="s">
        <v>877</v>
      </c>
      <c r="B408" s="2">
        <v>45910.5</v>
      </c>
      <c r="C408" t="s">
        <v>37</v>
      </c>
      <c r="D408" t="s">
        <f>'客户档案'!B3</f>
        <v>38</v>
      </c>
      <c r="E408" t="s">
        <v>64</v>
      </c>
      <c r="F408" t="s">
        <v>65</v>
      </c>
      <c r="G408" t="s">
        <f>'商品目录'!B5</f>
        <v>66</v>
      </c>
      <c r="H408" t="s">
        <v>67</v>
      </c>
      <c r="I408">
        <v>6</v>
      </c>
      <c r="J408" s="4">
        <v>45</v>
      </c>
      <c r="K408" s="4">
        <f>I408*J408</f>
        <v>270</v>
      </c>
      <c r="L408" s="3">
        <v>0</v>
      </c>
      <c r="M408" s="4">
        <f>K408*L408</f>
        <v>0</v>
      </c>
      <c r="N408" s="4">
        <v>0</v>
      </c>
      <c r="O408" s="4">
        <f>K408-M408+N408</f>
        <v>270</v>
      </c>
      <c r="P408" t="s">
        <v>43</v>
      </c>
      <c r="Q408" t="b">
        <v>1</v>
      </c>
      <c r="R408" t="s">
        <v>55</v>
      </c>
      <c r="S408" t="s">
        <v>45</v>
      </c>
      <c r="T408" t="s">
        <v>46</v>
      </c>
      <c r="U408" t="s">
        <v>70</v>
      </c>
      <c r="V408" t="s">
        <v>38</v>
      </c>
      <c r="W408" t="s">
        <v>878</v>
      </c>
      <c r="X408" t="s">
        <v>72</v>
      </c>
      <c r="Y408">
        <v>9007199254741395</v>
      </c>
      <c r="Z408">
        <v>0</v>
      </c>
      <c r="AA408" t="s">
        <v>38</v>
      </c>
      <c r="AB408" t="b">
        <v>0</v>
      </c>
      <c r="AD408" s="3">
        <v>0.125</v>
      </c>
      <c r="AE408" s="2">
        <v>45912.5</v>
      </c>
      <c r="AF408" t="s">
        <v>60</v>
      </c>
    </row>
    <row r="409">
      <c r="A409" t="s">
        <v>879</v>
      </c>
      <c r="B409" s="2">
        <v>45911.5</v>
      </c>
      <c r="C409" t="s">
        <v>49</v>
      </c>
      <c r="D409" t="s">
        <f>'客户档案'!B4</f>
        <v>50</v>
      </c>
      <c r="E409" t="s">
        <v>74</v>
      </c>
      <c r="F409" t="s">
        <v>75</v>
      </c>
      <c r="G409" t="s">
        <f>'商品目录'!B6</f>
        <v>76</v>
      </c>
      <c r="H409" t="s">
        <v>77</v>
      </c>
      <c r="I409">
        <v>8</v>
      </c>
      <c r="J409" s="4">
        <v>8</v>
      </c>
      <c r="K409" s="4">
        <f>I409*J409</f>
        <v>64</v>
      </c>
      <c r="L409" s="3">
        <v>0.5</v>
      </c>
      <c r="M409" s="4">
        <f>K409*L409</f>
        <v>32</v>
      </c>
      <c r="N409" s="4">
        <v>10</v>
      </c>
      <c r="O409" s="4">
        <f>K409-M409+N409</f>
        <v>42</v>
      </c>
      <c r="P409" t="s">
        <v>43</v>
      </c>
      <c r="Q409" t="b">
        <v>1</v>
      </c>
      <c r="R409" t="s">
        <v>55</v>
      </c>
      <c r="S409" t="s">
        <v>56</v>
      </c>
      <c r="T409" t="s">
        <v>57</v>
      </c>
      <c r="U409" t="s">
        <v>78</v>
      </c>
      <c r="V409" t="s">
        <v>50</v>
      </c>
      <c r="W409" t="s">
        <v>880</v>
      </c>
      <c r="X409" t="s">
        <v>80</v>
      </c>
      <c r="Y409">
        <v>9007199254741396</v>
      </c>
      <c r="Z409">
        <v>0</v>
      </c>
      <c r="AA409" t="s">
        <v>50</v>
      </c>
      <c r="AB409" t="b">
        <v>1</v>
      </c>
      <c r="AD409" s="3">
        <v>0.125</v>
      </c>
      <c r="AE409" s="2">
        <v>45913.5</v>
      </c>
      <c r="AF409" t="s">
        <v>60</v>
      </c>
    </row>
    <row r="410">
      <c r="A410" t="s">
        <v>881</v>
      </c>
      <c r="B410" s="2">
        <v>45912.5</v>
      </c>
      <c r="C410" t="s">
        <v>62</v>
      </c>
      <c r="D410" t="s">
        <f>'客户档案'!B5</f>
        <v>63</v>
      </c>
      <c r="E410" t="s">
        <v>39</v>
      </c>
      <c r="F410" t="s">
        <v>40</v>
      </c>
      <c r="G410" t="s">
        <f>'商品目录'!B3</f>
        <v>41</v>
      </c>
      <c r="H410" t="s">
        <v>42</v>
      </c>
      <c r="I410">
        <v>10</v>
      </c>
      <c r="J410" s="4">
        <v>99</v>
      </c>
      <c r="K410" s="4">
        <f>I410*J410</f>
        <v>990</v>
      </c>
      <c r="L410" s="3">
        <v>0</v>
      </c>
      <c r="M410" s="4">
        <f>K410*L410</f>
        <v>0</v>
      </c>
      <c r="N410" s="4">
        <v>20</v>
      </c>
      <c r="O410" s="4">
        <f>K410-M410+N410</f>
        <v>1010</v>
      </c>
      <c r="P410" t="s">
        <v>43</v>
      </c>
      <c r="Q410" t="b">
        <v>0</v>
      </c>
      <c r="R410" t="s">
        <v>44</v>
      </c>
      <c r="S410" t="s">
        <v>68</v>
      </c>
      <c r="T410" t="s">
        <v>69</v>
      </c>
      <c r="U410" t="s">
        <v>39</v>
      </c>
      <c r="V410" t="s">
        <v>63</v>
      </c>
      <c r="W410" t="s">
        <v>882</v>
      </c>
      <c r="X410" t="s">
        <v>0</v>
      </c>
      <c r="Y410">
        <v>9007199254741397</v>
      </c>
      <c r="Z410">
        <v>0</v>
      </c>
      <c r="AA410" t="s">
        <v>63</v>
      </c>
      <c r="AB410" t="b">
        <v>0</v>
      </c>
      <c r="AD410" s="3">
        <v>0.125</v>
      </c>
      <c r="AE410" s="2">
        <v>45914.5</v>
      </c>
      <c r="AF410" t="e">
        <v>#N/A</v>
      </c>
    </row>
    <row r="411">
      <c r="A411" t="s">
        <v>883</v>
      </c>
      <c r="B411" s="2">
        <v>45913.5</v>
      </c>
      <c r="C411" t="s">
        <v>37</v>
      </c>
      <c r="D411" t="s">
        <f>'客户档案'!B3</f>
        <v>38</v>
      </c>
      <c r="E411" t="s">
        <v>51</v>
      </c>
      <c r="F411" t="s">
        <v>52</v>
      </c>
      <c r="G411" t="s">
        <f>'商品目录'!B4</f>
        <v>53</v>
      </c>
      <c r="H411" t="s">
        <v>54</v>
      </c>
      <c r="I411">
        <v>2</v>
      </c>
      <c r="J411" s="4">
        <v>129</v>
      </c>
      <c r="K411" s="4">
        <f>I411*J411</f>
        <v>258</v>
      </c>
      <c r="L411" s="3">
        <v>0.5</v>
      </c>
      <c r="M411" s="4">
        <f>K411*L411</f>
        <v>129</v>
      </c>
      <c r="N411" s="4">
        <v>0</v>
      </c>
      <c r="O411" s="4">
        <f>K411-M411+N411</f>
        <v>129</v>
      </c>
      <c r="P411" t="s">
        <v>43</v>
      </c>
      <c r="Q411" t="b">
        <v>1</v>
      </c>
      <c r="R411" t="s">
        <v>55</v>
      </c>
      <c r="S411" t="s">
        <v>45</v>
      </c>
      <c r="T411" t="s">
        <v>46</v>
      </c>
      <c r="U411" t="s">
        <v>51</v>
      </c>
      <c r="V411" t="s">
        <v>38</v>
      </c>
      <c r="W411" t="s">
        <v>884</v>
      </c>
      <c r="X411" t="s">
        <v>59</v>
      </c>
      <c r="Y411">
        <v>9007199254741398</v>
      </c>
      <c r="Z411">
        <v>0</v>
      </c>
      <c r="AA411" t="s">
        <v>38</v>
      </c>
      <c r="AB411" t="b">
        <v>1</v>
      </c>
      <c r="AD411" s="3">
        <v>0.125</v>
      </c>
      <c r="AE411" s="2">
        <v>45915.5</v>
      </c>
      <c r="AF411" t="s">
        <v>60</v>
      </c>
    </row>
    <row r="412">
      <c r="A412" t="s">
        <v>885</v>
      </c>
      <c r="B412" s="2">
        <v>45914.5</v>
      </c>
      <c r="C412" t="s">
        <v>49</v>
      </c>
      <c r="D412" t="s">
        <f>'客户档案'!B4</f>
        <v>50</v>
      </c>
      <c r="E412" t="s">
        <v>64</v>
      </c>
      <c r="F412" t="s">
        <v>65</v>
      </c>
      <c r="G412" t="s">
        <f>'商品目录'!B5</f>
        <v>66</v>
      </c>
      <c r="H412" t="s">
        <v>67</v>
      </c>
      <c r="I412">
        <v>4</v>
      </c>
      <c r="J412" s="4">
        <v>45</v>
      </c>
      <c r="K412" s="4">
        <f>I412*J412</f>
        <v>180</v>
      </c>
      <c r="L412" s="3">
        <v>0</v>
      </c>
      <c r="M412" s="4">
        <f>K412*L412</f>
        <v>0</v>
      </c>
      <c r="N412" s="4">
        <v>10</v>
      </c>
      <c r="O412" s="4">
        <f>K412-M412+N412</f>
        <v>190</v>
      </c>
      <c r="P412" t="s">
        <v>43</v>
      </c>
      <c r="Q412" t="b">
        <v>1</v>
      </c>
      <c r="R412" t="s">
        <v>55</v>
      </c>
      <c r="S412" t="s">
        <v>56</v>
      </c>
      <c r="T412" t="s">
        <v>57</v>
      </c>
      <c r="U412" t="s">
        <v>70</v>
      </c>
      <c r="V412" t="s">
        <v>50</v>
      </c>
      <c r="W412" t="s">
        <v>886</v>
      </c>
      <c r="X412" t="s">
        <v>72</v>
      </c>
      <c r="Y412">
        <v>9007199254741399</v>
      </c>
      <c r="Z412">
        <v>0</v>
      </c>
      <c r="AA412" t="s">
        <v>50</v>
      </c>
      <c r="AB412" t="b">
        <v>0</v>
      </c>
      <c r="AD412" s="3">
        <v>0.125</v>
      </c>
      <c r="AE412" s="2">
        <v>45916.5</v>
      </c>
      <c r="AF412" t="s">
        <v>60</v>
      </c>
    </row>
    <row r="413">
      <c r="A413" t="s">
        <v>887</v>
      </c>
      <c r="B413" s="2">
        <v>45915.5</v>
      </c>
      <c r="C413" t="s">
        <v>62</v>
      </c>
      <c r="D413" t="s">
        <f>'客户档案'!B5</f>
        <v>63</v>
      </c>
      <c r="E413" t="s">
        <v>74</v>
      </c>
      <c r="F413" t="s">
        <v>75</v>
      </c>
      <c r="G413" t="s">
        <f>'商品目录'!B6</f>
        <v>76</v>
      </c>
      <c r="H413" t="s">
        <v>77</v>
      </c>
      <c r="I413">
        <v>6</v>
      </c>
      <c r="J413" s="4">
        <v>8</v>
      </c>
      <c r="K413" s="4">
        <f>I413*J413</f>
        <v>48</v>
      </c>
      <c r="L413" s="3">
        <v>0.5</v>
      </c>
      <c r="M413" s="4">
        <f>K413*L413</f>
        <v>24</v>
      </c>
      <c r="N413" s="4">
        <v>20</v>
      </c>
      <c r="O413" s="4">
        <f>K413-M413+N413</f>
        <v>44</v>
      </c>
      <c r="P413" t="s">
        <v>43</v>
      </c>
      <c r="Q413" t="b">
        <v>1</v>
      </c>
      <c r="R413" t="s">
        <v>55</v>
      </c>
      <c r="S413" t="s">
        <v>68</v>
      </c>
      <c r="T413" t="s">
        <v>69</v>
      </c>
      <c r="U413" t="s">
        <v>78</v>
      </c>
      <c r="V413" t="s">
        <v>63</v>
      </c>
      <c r="W413" t="s">
        <v>888</v>
      </c>
      <c r="X413" t="s">
        <v>80</v>
      </c>
      <c r="Y413">
        <v>9007199254741400</v>
      </c>
      <c r="Z413">
        <v>0</v>
      </c>
      <c r="AA413" t="s">
        <v>63</v>
      </c>
      <c r="AB413" t="b">
        <v>1</v>
      </c>
      <c r="AD413" s="3">
        <v>0.125</v>
      </c>
      <c r="AE413" s="2">
        <v>45917.5</v>
      </c>
      <c r="AF413" t="s">
        <v>60</v>
      </c>
    </row>
    <row r="414">
      <c r="A414" t="s">
        <v>889</v>
      </c>
      <c r="B414" s="2">
        <v>45916.5</v>
      </c>
      <c r="C414" t="s">
        <v>37</v>
      </c>
      <c r="D414" t="s">
        <f>'客户档案'!B3</f>
        <v>38</v>
      </c>
      <c r="E414" t="s">
        <v>39</v>
      </c>
      <c r="F414" t="s">
        <v>40</v>
      </c>
      <c r="G414" t="s">
        <f>'商品目录'!B3</f>
        <v>41</v>
      </c>
      <c r="H414" t="s">
        <v>42</v>
      </c>
      <c r="I414">
        <v>8</v>
      </c>
      <c r="J414" s="4">
        <v>99</v>
      </c>
      <c r="K414" s="4">
        <f>I414*J414</f>
        <v>792</v>
      </c>
      <c r="L414" s="3">
        <v>0</v>
      </c>
      <c r="M414" s="4">
        <f>K414*L414</f>
        <v>0</v>
      </c>
      <c r="N414" s="4">
        <v>0</v>
      </c>
      <c r="O414" s="4">
        <f>K414-M414+N414</f>
        <v>792</v>
      </c>
      <c r="P414" t="s">
        <v>43</v>
      </c>
      <c r="Q414" t="b">
        <v>0</v>
      </c>
      <c r="R414" t="s">
        <v>44</v>
      </c>
      <c r="S414" t="s">
        <v>45</v>
      </c>
      <c r="T414" t="s">
        <v>46</v>
      </c>
      <c r="U414" t="s">
        <v>39</v>
      </c>
      <c r="V414" t="s">
        <v>38</v>
      </c>
      <c r="W414" t="s">
        <v>890</v>
      </c>
      <c r="X414" t="s">
        <v>0</v>
      </c>
      <c r="Y414">
        <v>9007199254741401</v>
      </c>
      <c r="Z414">
        <v>2</v>
      </c>
      <c r="AA414" t="s">
        <v>38</v>
      </c>
      <c r="AB414" t="b">
        <v>0</v>
      </c>
      <c r="AD414" s="3">
        <v>0.125</v>
      </c>
      <c r="AE414" s="2">
        <v>45918.5</v>
      </c>
      <c r="AF414" t="s">
        <v>60</v>
      </c>
    </row>
    <row r="415">
      <c r="A415" t="s">
        <v>891</v>
      </c>
      <c r="B415" s="2">
        <v>45917.5</v>
      </c>
      <c r="C415" t="s">
        <v>49</v>
      </c>
      <c r="D415" t="s">
        <f>'客户档案'!B4</f>
        <v>50</v>
      </c>
      <c r="E415" t="s">
        <v>51</v>
      </c>
      <c r="F415" t="s">
        <v>52</v>
      </c>
      <c r="G415" t="s">
        <f>'商品目录'!B4</f>
        <v>53</v>
      </c>
      <c r="H415" t="s">
        <v>54</v>
      </c>
      <c r="I415">
        <v>10</v>
      </c>
      <c r="J415" s="4">
        <v>129</v>
      </c>
      <c r="K415" s="4">
        <f>I415*J415</f>
        <v>1290</v>
      </c>
      <c r="L415" s="3">
        <v>0.5</v>
      </c>
      <c r="M415" s="4">
        <f>K415*L415</f>
        <v>645</v>
      </c>
      <c r="N415" s="4">
        <v>10</v>
      </c>
      <c r="O415" s="4">
        <f>K415-M415+N415</f>
        <v>655</v>
      </c>
      <c r="P415" t="s">
        <v>43</v>
      </c>
      <c r="Q415" t="b">
        <v>1</v>
      </c>
      <c r="R415" t="s">
        <v>55</v>
      </c>
      <c r="S415" t="s">
        <v>56</v>
      </c>
      <c r="T415" t="s">
        <v>57</v>
      </c>
      <c r="U415" t="s">
        <v>51</v>
      </c>
      <c r="V415" t="s">
        <v>50</v>
      </c>
      <c r="W415" t="s">
        <v>892</v>
      </c>
      <c r="X415" t="s">
        <v>59</v>
      </c>
      <c r="Y415">
        <v>9007199254741402</v>
      </c>
      <c r="Z415">
        <v>0</v>
      </c>
      <c r="AA415" t="s">
        <v>50</v>
      </c>
      <c r="AB415" t="b">
        <v>1</v>
      </c>
      <c r="AD415" s="3">
        <v>0.125</v>
      </c>
      <c r="AE415" s="2">
        <v>45919.5</v>
      </c>
      <c r="AF415" t="s">
        <v>60</v>
      </c>
    </row>
    <row r="416">
      <c r="A416" t="s">
        <v>893</v>
      </c>
      <c r="B416" s="2">
        <v>45918.5</v>
      </c>
      <c r="C416" t="s">
        <v>62</v>
      </c>
      <c r="D416" t="s">
        <f>'客户档案'!B5</f>
        <v>63</v>
      </c>
      <c r="E416" t="s">
        <v>64</v>
      </c>
      <c r="F416" t="s">
        <v>65</v>
      </c>
      <c r="G416" t="s">
        <f>'商品目录'!B5</f>
        <v>66</v>
      </c>
      <c r="H416" t="s">
        <v>67</v>
      </c>
      <c r="I416">
        <v>2</v>
      </c>
      <c r="J416" s="4">
        <v>45</v>
      </c>
      <c r="K416" s="4">
        <f>I416*J416</f>
        <v>90</v>
      </c>
      <c r="L416" s="3">
        <v>0</v>
      </c>
      <c r="M416" s="4">
        <f>K416*L416</f>
        <v>0</v>
      </c>
      <c r="N416" s="4">
        <v>20</v>
      </c>
      <c r="O416" s="4">
        <f>K416-M416+N416</f>
        <v>110</v>
      </c>
      <c r="P416" t="s">
        <v>43</v>
      </c>
      <c r="Q416" t="b">
        <v>1</v>
      </c>
      <c r="R416" t="s">
        <v>55</v>
      </c>
      <c r="S416" t="s">
        <v>68</v>
      </c>
      <c r="T416" t="s">
        <v>69</v>
      </c>
      <c r="U416" t="s">
        <v>70</v>
      </c>
      <c r="V416" t="s">
        <v>63</v>
      </c>
      <c r="W416" t="s">
        <v>894</v>
      </c>
      <c r="X416" t="s">
        <v>72</v>
      </c>
      <c r="Y416">
        <v>9007199254741403</v>
      </c>
      <c r="Z416">
        <v>0</v>
      </c>
      <c r="AA416" t="s">
        <v>63</v>
      </c>
      <c r="AB416" t="b">
        <v>0</v>
      </c>
      <c r="AD416" s="3">
        <v>0.125</v>
      </c>
      <c r="AE416" s="2">
        <v>45920.5</v>
      </c>
      <c r="AF416" t="s">
        <v>60</v>
      </c>
    </row>
    <row r="417">
      <c r="A417" t="s">
        <v>895</v>
      </c>
      <c r="B417" s="2">
        <v>45919.5</v>
      </c>
      <c r="C417" t="s">
        <v>37</v>
      </c>
      <c r="D417" t="s">
        <f>'客户档案'!B3</f>
        <v>38</v>
      </c>
      <c r="E417" t="s">
        <v>74</v>
      </c>
      <c r="F417" t="s">
        <v>75</v>
      </c>
      <c r="G417" t="s">
        <f>'商品目录'!B6</f>
        <v>76</v>
      </c>
      <c r="H417" t="s">
        <v>77</v>
      </c>
      <c r="I417">
        <v>4</v>
      </c>
      <c r="J417" s="4">
        <v>8</v>
      </c>
      <c r="K417" s="4">
        <f>I417*J417</f>
        <v>32</v>
      </c>
      <c r="L417" s="3">
        <v>0.5</v>
      </c>
      <c r="M417" s="4">
        <f>K417*L417</f>
        <v>16</v>
      </c>
      <c r="N417" s="4">
        <v>0</v>
      </c>
      <c r="O417" s="4">
        <f>K417-M417+N417</f>
        <v>16</v>
      </c>
      <c r="P417" t="s">
        <v>43</v>
      </c>
      <c r="Q417" t="b">
        <v>1</v>
      </c>
      <c r="R417" t="s">
        <v>55</v>
      </c>
      <c r="S417" t="s">
        <v>45</v>
      </c>
      <c r="T417" t="s">
        <v>46</v>
      </c>
      <c r="U417" t="s">
        <v>78</v>
      </c>
      <c r="V417" t="s">
        <v>38</v>
      </c>
      <c r="W417" t="s">
        <v>896</v>
      </c>
      <c r="X417" t="s">
        <v>80</v>
      </c>
      <c r="Y417">
        <v>9007199254741404</v>
      </c>
      <c r="Z417">
        <v>0</v>
      </c>
      <c r="AA417" t="s">
        <v>38</v>
      </c>
      <c r="AB417" t="b">
        <v>1</v>
      </c>
      <c r="AD417" s="3">
        <v>0.125</v>
      </c>
      <c r="AE417" s="2">
        <v>45921.5</v>
      </c>
      <c r="AF417" t="s">
        <v>60</v>
      </c>
    </row>
    <row r="418">
      <c r="A418" t="s">
        <v>897</v>
      </c>
      <c r="B418" s="2">
        <v>45920.5</v>
      </c>
      <c r="C418" t="s">
        <v>49</v>
      </c>
      <c r="D418" t="s">
        <f>'客户档案'!B4</f>
        <v>50</v>
      </c>
      <c r="E418" t="s">
        <v>39</v>
      </c>
      <c r="F418" t="s">
        <v>40</v>
      </c>
      <c r="G418" t="s">
        <f>'商品目录'!B3</f>
        <v>41</v>
      </c>
      <c r="H418" t="s">
        <v>42</v>
      </c>
      <c r="I418">
        <v>6</v>
      </c>
      <c r="J418" s="4">
        <v>99</v>
      </c>
      <c r="K418" s="4">
        <f>I418*J418</f>
        <v>594</v>
      </c>
      <c r="L418" s="3">
        <v>0</v>
      </c>
      <c r="M418" s="4">
        <f>K418*L418</f>
        <v>0</v>
      </c>
      <c r="N418" s="4">
        <v>10</v>
      </c>
      <c r="O418" s="4">
        <f>K418-M418+N418</f>
        <v>604</v>
      </c>
      <c r="P418" t="s">
        <v>43</v>
      </c>
      <c r="Q418" t="b">
        <v>0</v>
      </c>
      <c r="R418" t="s">
        <v>44</v>
      </c>
      <c r="S418" t="s">
        <v>56</v>
      </c>
      <c r="T418" t="s">
        <v>57</v>
      </c>
      <c r="U418" t="s">
        <v>39</v>
      </c>
      <c r="V418" t="s">
        <v>50</v>
      </c>
      <c r="W418" t="s">
        <v>898</v>
      </c>
      <c r="X418" t="s">
        <v>0</v>
      </c>
      <c r="Y418">
        <v>9007199254741405</v>
      </c>
      <c r="Z418">
        <v>0</v>
      </c>
      <c r="AA418" t="s">
        <v>50</v>
      </c>
      <c r="AB418" t="b">
        <v>0</v>
      </c>
      <c r="AD418" s="3">
        <v>0.125</v>
      </c>
      <c r="AE418" s="2">
        <v>45922.5</v>
      </c>
      <c r="AF418" t="s">
        <v>60</v>
      </c>
    </row>
    <row r="419">
      <c r="A419" t="s">
        <v>899</v>
      </c>
      <c r="B419" s="2">
        <v>45921.5</v>
      </c>
      <c r="C419" t="s">
        <v>62</v>
      </c>
      <c r="D419" t="s">
        <f>'客户档案'!B5</f>
        <v>63</v>
      </c>
      <c r="E419" t="s">
        <v>51</v>
      </c>
      <c r="F419" t="s">
        <v>52</v>
      </c>
      <c r="G419" t="s">
        <f>'商品目录'!B4</f>
        <v>53</v>
      </c>
      <c r="H419" t="s">
        <v>54</v>
      </c>
      <c r="I419">
        <v>8</v>
      </c>
      <c r="J419" s="4">
        <v>129</v>
      </c>
      <c r="K419" s="4">
        <f>I419*J419</f>
        <v>1032</v>
      </c>
      <c r="L419" s="3">
        <v>0.5</v>
      </c>
      <c r="M419" s="4">
        <f>K419*L419</f>
        <v>516</v>
      </c>
      <c r="N419" s="4">
        <v>20</v>
      </c>
      <c r="O419" s="4">
        <f>K419-M419+N419</f>
        <v>536</v>
      </c>
      <c r="P419" t="s">
        <v>43</v>
      </c>
      <c r="Q419" t="b">
        <v>1</v>
      </c>
      <c r="R419" t="s">
        <v>55</v>
      </c>
      <c r="S419" t="s">
        <v>68</v>
      </c>
      <c r="T419" t="s">
        <v>69</v>
      </c>
      <c r="U419" t="s">
        <v>51</v>
      </c>
      <c r="V419" t="s">
        <v>63</v>
      </c>
      <c r="W419" t="s">
        <v>900</v>
      </c>
      <c r="X419" t="s">
        <v>59</v>
      </c>
      <c r="Y419">
        <v>9007199254741406</v>
      </c>
      <c r="Z419">
        <v>0</v>
      </c>
      <c r="AA419" t="s">
        <v>63</v>
      </c>
      <c r="AB419" t="b">
        <v>1</v>
      </c>
      <c r="AD419" s="3">
        <v>0.125</v>
      </c>
      <c r="AE419" s="2">
        <v>45923.5</v>
      </c>
      <c r="AF419" t="s">
        <v>60</v>
      </c>
    </row>
    <row r="420">
      <c r="A420" t="s">
        <v>901</v>
      </c>
      <c r="B420" s="2">
        <v>45922.5</v>
      </c>
      <c r="C420" t="s">
        <v>37</v>
      </c>
      <c r="D420" t="s">
        <f>'客户档案'!B3</f>
        <v>38</v>
      </c>
      <c r="E420" t="s">
        <v>64</v>
      </c>
      <c r="F420" t="s">
        <v>65</v>
      </c>
      <c r="G420" t="s">
        <f>'商品目录'!B5</f>
        <v>66</v>
      </c>
      <c r="H420" t="s">
        <v>67</v>
      </c>
      <c r="I420">
        <v>10</v>
      </c>
      <c r="J420" s="4">
        <v>45</v>
      </c>
      <c r="K420" s="4">
        <f>I420*J420</f>
        <v>450</v>
      </c>
      <c r="L420" s="3">
        <v>0</v>
      </c>
      <c r="M420" s="4">
        <f>K420*L420</f>
        <v>0</v>
      </c>
      <c r="N420" s="4">
        <v>0</v>
      </c>
      <c r="O420" s="4">
        <f>K420-M420+N420</f>
        <v>450</v>
      </c>
      <c r="P420" t="s">
        <v>43</v>
      </c>
      <c r="Q420" t="b">
        <v>1</v>
      </c>
      <c r="R420" t="s">
        <v>55</v>
      </c>
      <c r="S420" t="s">
        <v>45</v>
      </c>
      <c r="T420" t="s">
        <v>46</v>
      </c>
      <c r="U420" t="s">
        <v>70</v>
      </c>
      <c r="V420" t="s">
        <v>38</v>
      </c>
      <c r="W420" t="s">
        <v>902</v>
      </c>
      <c r="X420" t="s">
        <v>72</v>
      </c>
      <c r="Y420">
        <v>9007199254741407</v>
      </c>
      <c r="Z420">
        <v>0</v>
      </c>
      <c r="AA420" t="s">
        <v>38</v>
      </c>
      <c r="AB420" t="b">
        <v>0</v>
      </c>
      <c r="AD420" s="3">
        <v>0.125</v>
      </c>
      <c r="AE420" s="2">
        <v>45924.5</v>
      </c>
      <c r="AF420" t="s">
        <v>60</v>
      </c>
    </row>
    <row r="421">
      <c r="A421" t="s">
        <v>903</v>
      </c>
      <c r="B421" s="2">
        <v>45923.5</v>
      </c>
      <c r="C421" t="s">
        <v>49</v>
      </c>
      <c r="D421" t="s">
        <f>'客户档案'!B4</f>
        <v>50</v>
      </c>
      <c r="E421" t="s">
        <v>74</v>
      </c>
      <c r="F421" t="s">
        <v>75</v>
      </c>
      <c r="G421" t="s">
        <f>'商品目录'!B6</f>
        <v>76</v>
      </c>
      <c r="H421" t="s">
        <v>77</v>
      </c>
      <c r="I421">
        <v>2</v>
      </c>
      <c r="J421" s="4">
        <v>8</v>
      </c>
      <c r="K421" s="4">
        <f>I421*J421</f>
        <v>16</v>
      </c>
      <c r="L421" s="3">
        <v>0.5</v>
      </c>
      <c r="M421" s="4">
        <f>K421*L421</f>
        <v>8</v>
      </c>
      <c r="N421" s="4">
        <v>10</v>
      </c>
      <c r="O421" s="4">
        <f>K421-M421+N421</f>
        <v>18</v>
      </c>
      <c r="P421" t="s">
        <v>43</v>
      </c>
      <c r="Q421" t="b">
        <v>1</v>
      </c>
      <c r="R421" t="s">
        <v>55</v>
      </c>
      <c r="S421" t="s">
        <v>56</v>
      </c>
      <c r="T421" t="s">
        <v>57</v>
      </c>
      <c r="U421" t="s">
        <v>78</v>
      </c>
      <c r="V421" t="s">
        <v>50</v>
      </c>
      <c r="W421" t="s">
        <v>904</v>
      </c>
      <c r="X421" t="s">
        <v>80</v>
      </c>
      <c r="Y421">
        <v>9007199254741408</v>
      </c>
      <c r="Z421">
        <v>0</v>
      </c>
      <c r="AA421" t="s">
        <v>50</v>
      </c>
      <c r="AB421" t="b">
        <v>1</v>
      </c>
      <c r="AD421" s="3">
        <v>0.125</v>
      </c>
      <c r="AE421" s="2">
        <v>45925.5</v>
      </c>
      <c r="AF421" t="s">
        <v>60</v>
      </c>
    </row>
    <row r="422">
      <c r="A422" t="s">
        <v>905</v>
      </c>
      <c r="B422" s="2">
        <v>45924.5</v>
      </c>
      <c r="C422" t="s">
        <v>62</v>
      </c>
      <c r="D422" t="s">
        <f>'客户档案'!B5</f>
        <v>63</v>
      </c>
      <c r="E422" t="s">
        <v>39</v>
      </c>
      <c r="F422" t="s">
        <v>40</v>
      </c>
      <c r="G422" t="s">
        <f>'商品目录'!B3</f>
        <v>41</v>
      </c>
      <c r="H422" t="s">
        <v>42</v>
      </c>
      <c r="I422">
        <v>4</v>
      </c>
      <c r="J422" s="4">
        <v>99</v>
      </c>
      <c r="K422" s="4">
        <f>I422*J422</f>
        <v>396</v>
      </c>
      <c r="L422" s="3">
        <v>0</v>
      </c>
      <c r="M422" s="4">
        <f>K422*L422</f>
        <v>0</v>
      </c>
      <c r="N422" s="4">
        <v>20</v>
      </c>
      <c r="O422" s="4">
        <f>K422-M422+N422</f>
        <v>416</v>
      </c>
      <c r="P422" t="s">
        <v>43</v>
      </c>
      <c r="Q422" t="b">
        <v>0</v>
      </c>
      <c r="R422" t="s">
        <v>44</v>
      </c>
      <c r="S422" t="s">
        <v>68</v>
      </c>
      <c r="T422" t="s">
        <v>69</v>
      </c>
      <c r="U422" t="s">
        <v>39</v>
      </c>
      <c r="V422" t="s">
        <v>63</v>
      </c>
      <c r="W422" t="s">
        <v>906</v>
      </c>
      <c r="X422" t="s">
        <v>0</v>
      </c>
      <c r="Y422">
        <v>9007199254741409</v>
      </c>
      <c r="Z422">
        <v>0</v>
      </c>
      <c r="AA422" t="s">
        <v>63</v>
      </c>
      <c r="AB422" t="b">
        <v>0</v>
      </c>
      <c r="AD422" s="3">
        <v>0.125</v>
      </c>
      <c r="AE422" s="2">
        <v>45926.5</v>
      </c>
      <c r="AF422" t="s">
        <v>60</v>
      </c>
    </row>
    <row r="423">
      <c r="A423" t="s">
        <v>907</v>
      </c>
      <c r="B423" s="2">
        <v>45925.5</v>
      </c>
      <c r="C423" t="s">
        <v>37</v>
      </c>
      <c r="D423" t="s">
        <f>'客户档案'!B3</f>
        <v>38</v>
      </c>
      <c r="E423" t="s">
        <v>51</v>
      </c>
      <c r="F423" t="s">
        <v>52</v>
      </c>
      <c r="G423" t="s">
        <f>'商品目录'!B4</f>
        <v>53</v>
      </c>
      <c r="H423" t="s">
        <v>54</v>
      </c>
      <c r="I423">
        <v>6</v>
      </c>
      <c r="J423" s="4">
        <v>129</v>
      </c>
      <c r="K423" s="4">
        <f>I423*J423</f>
        <v>774</v>
      </c>
      <c r="L423" s="3">
        <v>0.5</v>
      </c>
      <c r="M423" s="4">
        <f>K423*L423</f>
        <v>387</v>
      </c>
      <c r="N423" s="4">
        <v>0</v>
      </c>
      <c r="O423" s="4">
        <f>K423-M423+N423</f>
        <v>387</v>
      </c>
      <c r="P423" t="s">
        <v>43</v>
      </c>
      <c r="Q423" t="b">
        <v>1</v>
      </c>
      <c r="R423" t="s">
        <v>55</v>
      </c>
      <c r="S423" t="s">
        <v>45</v>
      </c>
      <c r="T423" t="s">
        <v>46</v>
      </c>
      <c r="U423" t="s">
        <v>51</v>
      </c>
      <c r="V423" t="s">
        <v>38</v>
      </c>
      <c r="W423" t="s">
        <v>908</v>
      </c>
      <c r="X423" t="s">
        <v>59</v>
      </c>
      <c r="Y423">
        <v>9007199254741410</v>
      </c>
      <c r="Z423">
        <v>0</v>
      </c>
      <c r="AA423" t="s">
        <v>38</v>
      </c>
      <c r="AB423" t="b">
        <v>1</v>
      </c>
      <c r="AD423" s="3">
        <v>0.125</v>
      </c>
      <c r="AE423" s="2">
        <v>45927.5</v>
      </c>
      <c r="AF423" t="s">
        <v>60</v>
      </c>
    </row>
    <row r="424">
      <c r="A424" t="s">
        <v>909</v>
      </c>
      <c r="B424" s="2">
        <v>45926.5</v>
      </c>
      <c r="C424" t="s">
        <v>49</v>
      </c>
      <c r="D424" t="s">
        <f>'客户档案'!B4</f>
        <v>50</v>
      </c>
      <c r="E424" t="s">
        <v>64</v>
      </c>
      <c r="F424" t="s">
        <v>65</v>
      </c>
      <c r="G424" t="s">
        <f>'商品目录'!B5</f>
        <v>66</v>
      </c>
      <c r="H424" t="s">
        <v>67</v>
      </c>
      <c r="I424">
        <v>8</v>
      </c>
      <c r="J424" s="4">
        <v>45</v>
      </c>
      <c r="K424" s="4">
        <f>I424*J424</f>
        <v>360</v>
      </c>
      <c r="L424" s="3">
        <v>0</v>
      </c>
      <c r="M424" s="4">
        <f>K424*L424</f>
        <v>0</v>
      </c>
      <c r="N424" s="4">
        <v>10</v>
      </c>
      <c r="O424" s="4">
        <f>K424-M424+N424</f>
        <v>370</v>
      </c>
      <c r="P424" t="s">
        <v>43</v>
      </c>
      <c r="Q424" t="b">
        <v>1</v>
      </c>
      <c r="R424" t="s">
        <v>55</v>
      </c>
      <c r="S424" t="s">
        <v>56</v>
      </c>
      <c r="T424" t="s">
        <v>57</v>
      </c>
      <c r="U424" t="s">
        <v>70</v>
      </c>
      <c r="V424" t="s">
        <v>50</v>
      </c>
      <c r="W424" t="s">
        <v>910</v>
      </c>
      <c r="X424" t="s">
        <v>72</v>
      </c>
      <c r="Y424">
        <v>9007199254741411</v>
      </c>
      <c r="Z424">
        <v>0</v>
      </c>
      <c r="AA424" t="s">
        <v>50</v>
      </c>
      <c r="AB424" t="b">
        <v>0</v>
      </c>
      <c r="AD424" s="3">
        <v>0.125</v>
      </c>
      <c r="AE424" s="2">
        <v>45928.5</v>
      </c>
      <c r="AF424" t="s">
        <v>60</v>
      </c>
    </row>
    <row r="425">
      <c r="A425" t="s">
        <v>911</v>
      </c>
      <c r="B425" s="2">
        <v>45927.5</v>
      </c>
      <c r="C425" t="s">
        <v>62</v>
      </c>
      <c r="D425" t="s">
        <f>'客户档案'!B5</f>
        <v>63</v>
      </c>
      <c r="E425" t="s">
        <v>74</v>
      </c>
      <c r="F425" t="s">
        <v>75</v>
      </c>
      <c r="G425" t="s">
        <f>'商品目录'!B6</f>
        <v>76</v>
      </c>
      <c r="H425" t="s">
        <v>77</v>
      </c>
      <c r="I425">
        <v>10</v>
      </c>
      <c r="J425" s="4">
        <v>8</v>
      </c>
      <c r="K425" s="4">
        <f>I425*J425</f>
        <v>80</v>
      </c>
      <c r="L425" s="3">
        <v>0.5</v>
      </c>
      <c r="M425" s="4">
        <f>K425*L425</f>
        <v>40</v>
      </c>
      <c r="N425" s="4">
        <v>20</v>
      </c>
      <c r="O425" s="4">
        <f>K425-M425+N425</f>
        <v>60</v>
      </c>
      <c r="P425" t="s">
        <v>43</v>
      </c>
      <c r="Q425" t="b">
        <v>1</v>
      </c>
      <c r="R425" t="s">
        <v>55</v>
      </c>
      <c r="S425" t="s">
        <v>68</v>
      </c>
      <c r="T425" t="s">
        <v>69</v>
      </c>
      <c r="U425" t="s">
        <v>78</v>
      </c>
      <c r="V425" t="s">
        <v>63</v>
      </c>
      <c r="W425" t="s">
        <v>912</v>
      </c>
      <c r="X425" t="s">
        <v>80</v>
      </c>
      <c r="Y425">
        <v>9007199254741412</v>
      </c>
      <c r="Z425">
        <v>0</v>
      </c>
      <c r="AA425" t="s">
        <v>63</v>
      </c>
      <c r="AB425" t="b">
        <v>1</v>
      </c>
      <c r="AD425" s="3">
        <v>0.125</v>
      </c>
      <c r="AE425" s="2">
        <v>45929.5</v>
      </c>
      <c r="AF425" t="s">
        <v>60</v>
      </c>
    </row>
    <row r="426">
      <c r="A426" t="s">
        <v>913</v>
      </c>
      <c r="B426" s="2">
        <v>45900.5</v>
      </c>
      <c r="C426" t="s">
        <v>37</v>
      </c>
      <c r="D426" t="s">
        <f>'客户档案'!B3</f>
        <v>38</v>
      </c>
      <c r="E426" t="s">
        <v>39</v>
      </c>
      <c r="F426" t="s">
        <v>40</v>
      </c>
      <c r="G426" t="s">
        <f>'商品目录'!B3</f>
        <v>41</v>
      </c>
      <c r="H426" t="s">
        <v>42</v>
      </c>
      <c r="I426">
        <v>2</v>
      </c>
      <c r="J426" s="4">
        <v>99</v>
      </c>
      <c r="K426" s="4">
        <f>I426*J426</f>
        <v>198</v>
      </c>
      <c r="L426" s="3">
        <v>0</v>
      </c>
      <c r="M426" s="4">
        <f>K426*L426</f>
        <v>0</v>
      </c>
      <c r="N426" s="4">
        <v>0</v>
      </c>
      <c r="O426" s="4">
        <f>K426-M426+N426</f>
        <v>198</v>
      </c>
      <c r="P426" t="s">
        <v>43</v>
      </c>
      <c r="Q426" t="b">
        <v>0</v>
      </c>
      <c r="R426" t="s">
        <v>44</v>
      </c>
      <c r="S426" t="s">
        <v>45</v>
      </c>
      <c r="T426" t="s">
        <v>46</v>
      </c>
      <c r="U426" t="s">
        <v>39</v>
      </c>
      <c r="V426" t="s">
        <v>38</v>
      </c>
      <c r="W426" t="s">
        <v>914</v>
      </c>
      <c r="X426" t="s">
        <v>0</v>
      </c>
      <c r="Y426">
        <v>9007199254741413</v>
      </c>
      <c r="Z426">
        <v>0</v>
      </c>
      <c r="AA426" t="s">
        <v>38</v>
      </c>
      <c r="AB426" t="b">
        <v>0</v>
      </c>
      <c r="AD426" s="3">
        <v>0.125</v>
      </c>
      <c r="AE426" s="2">
        <v>45902.5</v>
      </c>
      <c r="AF426" t="s">
        <v>60</v>
      </c>
    </row>
    <row r="427">
      <c r="A427" t="s">
        <v>915</v>
      </c>
      <c r="B427" s="2">
        <v>45901.5</v>
      </c>
      <c r="C427" t="s">
        <v>49</v>
      </c>
      <c r="D427" t="s">
        <f>'客户档案'!B4</f>
        <v>50</v>
      </c>
      <c r="E427" t="s">
        <v>51</v>
      </c>
      <c r="F427" t="s">
        <v>52</v>
      </c>
      <c r="G427" t="s">
        <f>'商品目录'!B4</f>
        <v>53</v>
      </c>
      <c r="H427" t="s">
        <v>54</v>
      </c>
      <c r="I427">
        <v>4</v>
      </c>
      <c r="J427" s="4">
        <v>129</v>
      </c>
      <c r="K427" s="4">
        <f>I427*J427</f>
        <v>516</v>
      </c>
      <c r="L427" s="3">
        <v>0.5</v>
      </c>
      <c r="M427" s="4">
        <f>K427*L427</f>
        <v>258</v>
      </c>
      <c r="N427" s="4">
        <v>10</v>
      </c>
      <c r="O427" s="4">
        <f>K427-M427+N427</f>
        <v>268</v>
      </c>
      <c r="P427" t="s">
        <v>43</v>
      </c>
      <c r="Q427" t="b">
        <v>1</v>
      </c>
      <c r="R427" t="s">
        <v>55</v>
      </c>
      <c r="S427" t="s">
        <v>56</v>
      </c>
      <c r="T427" t="s">
        <v>57</v>
      </c>
      <c r="U427" t="s">
        <v>51</v>
      </c>
      <c r="V427" t="s">
        <v>50</v>
      </c>
      <c r="W427" t="s">
        <v>916</v>
      </c>
      <c r="X427" t="s">
        <v>59</v>
      </c>
      <c r="Y427">
        <v>9007199254741414</v>
      </c>
      <c r="Z427">
        <v>0</v>
      </c>
      <c r="AA427" t="s">
        <v>50</v>
      </c>
      <c r="AB427" t="b">
        <v>1</v>
      </c>
      <c r="AD427" s="3">
        <v>0.125</v>
      </c>
      <c r="AE427" s="2">
        <v>45903.5</v>
      </c>
      <c r="AF427" t="s">
        <v>60</v>
      </c>
    </row>
    <row r="428">
      <c r="A428" t="s">
        <v>917</v>
      </c>
      <c r="B428" s="2">
        <v>45902.5</v>
      </c>
      <c r="C428" t="s">
        <v>62</v>
      </c>
      <c r="D428" t="s">
        <f>'客户档案'!B5</f>
        <v>63</v>
      </c>
      <c r="E428" t="s">
        <v>64</v>
      </c>
      <c r="F428" t="s">
        <v>65</v>
      </c>
      <c r="G428" t="s">
        <f>'商品目录'!B5</f>
        <v>66</v>
      </c>
      <c r="H428" t="s">
        <v>67</v>
      </c>
      <c r="I428">
        <v>6</v>
      </c>
      <c r="J428" s="4">
        <v>45</v>
      </c>
      <c r="K428" s="4">
        <f>I428*J428</f>
        <v>270</v>
      </c>
      <c r="L428" s="3">
        <v>0</v>
      </c>
      <c r="M428" s="4">
        <f>K428*L428</f>
        <v>0</v>
      </c>
      <c r="N428" s="4">
        <v>20</v>
      </c>
      <c r="O428" s="4">
        <f>K428-M428+N428</f>
        <v>290</v>
      </c>
      <c r="P428" t="s">
        <v>43</v>
      </c>
      <c r="Q428" t="b">
        <v>1</v>
      </c>
      <c r="R428" t="s">
        <v>55</v>
      </c>
      <c r="S428" t="s">
        <v>68</v>
      </c>
      <c r="T428" t="s">
        <v>69</v>
      </c>
      <c r="U428" t="s">
        <v>70</v>
      </c>
      <c r="V428" t="s">
        <v>63</v>
      </c>
      <c r="W428" t="s">
        <v>918</v>
      </c>
      <c r="X428" t="s">
        <v>72</v>
      </c>
      <c r="Y428">
        <v>9007199254741415</v>
      </c>
      <c r="Z428">
        <v>0</v>
      </c>
      <c r="AA428" t="s">
        <v>63</v>
      </c>
      <c r="AB428" t="b">
        <v>0</v>
      </c>
      <c r="AD428" s="3">
        <v>0.125</v>
      </c>
      <c r="AE428" s="2">
        <v>45904.5</v>
      </c>
      <c r="AF428" t="s">
        <v>60</v>
      </c>
    </row>
    <row r="429">
      <c r="A429" t="s">
        <v>919</v>
      </c>
      <c r="B429" s="2">
        <v>45903.5</v>
      </c>
      <c r="C429" t="s">
        <v>37</v>
      </c>
      <c r="D429" t="s">
        <f>'客户档案'!B3</f>
        <v>38</v>
      </c>
      <c r="E429" t="s">
        <v>74</v>
      </c>
      <c r="F429" t="s">
        <v>75</v>
      </c>
      <c r="G429" t="s">
        <f>'商品目录'!B6</f>
        <v>76</v>
      </c>
      <c r="H429" t="s">
        <v>77</v>
      </c>
      <c r="I429">
        <v>8</v>
      </c>
      <c r="J429" s="4">
        <v>8</v>
      </c>
      <c r="K429" s="4">
        <f>I429*J429</f>
        <v>64</v>
      </c>
      <c r="L429" s="3">
        <v>0.5</v>
      </c>
      <c r="M429" s="4">
        <f>K429*L429</f>
        <v>32</v>
      </c>
      <c r="N429" s="4">
        <v>0</v>
      </c>
      <c r="O429" s="4">
        <f>K429-M429+N429</f>
        <v>32</v>
      </c>
      <c r="P429" t="s">
        <v>43</v>
      </c>
      <c r="Q429" t="b">
        <v>1</v>
      </c>
      <c r="R429" t="s">
        <v>55</v>
      </c>
      <c r="S429" t="s">
        <v>45</v>
      </c>
      <c r="T429" t="s">
        <v>46</v>
      </c>
      <c r="U429" t="s">
        <v>78</v>
      </c>
      <c r="V429" t="s">
        <v>38</v>
      </c>
      <c r="W429" t="s">
        <v>920</v>
      </c>
      <c r="X429" t="s">
        <v>80</v>
      </c>
      <c r="Y429">
        <v>9007199254741416</v>
      </c>
      <c r="Z429">
        <v>0</v>
      </c>
      <c r="AA429" t="s">
        <v>38</v>
      </c>
      <c r="AB429" t="b">
        <v>1</v>
      </c>
      <c r="AD429" s="3">
        <v>0.125</v>
      </c>
      <c r="AE429" s="2">
        <v>45905.5</v>
      </c>
      <c r="AF429" t="s">
        <v>60</v>
      </c>
    </row>
    <row r="430">
      <c r="A430" t="s">
        <v>921</v>
      </c>
      <c r="B430" s="2">
        <v>45904.5</v>
      </c>
      <c r="C430" t="s">
        <v>49</v>
      </c>
      <c r="D430" t="s">
        <f>'客户档案'!B4</f>
        <v>50</v>
      </c>
      <c r="E430" t="s">
        <v>39</v>
      </c>
      <c r="F430" t="s">
        <v>40</v>
      </c>
      <c r="G430" t="s">
        <f>'商品目录'!B3</f>
        <v>41</v>
      </c>
      <c r="H430" t="s">
        <v>42</v>
      </c>
      <c r="I430">
        <v>10</v>
      </c>
      <c r="J430" s="4">
        <v>99</v>
      </c>
      <c r="K430" s="4">
        <f>I430*J430</f>
        <v>990</v>
      </c>
      <c r="L430" s="3">
        <v>0</v>
      </c>
      <c r="M430" s="4">
        <f>K430*L430</f>
        <v>0</v>
      </c>
      <c r="N430" s="4">
        <v>10</v>
      </c>
      <c r="O430" s="4">
        <f>K430-M430+N430</f>
        <v>1000</v>
      </c>
      <c r="P430" t="s">
        <v>43</v>
      </c>
      <c r="Q430" t="b">
        <v>0</v>
      </c>
      <c r="R430" t="s">
        <v>44</v>
      </c>
      <c r="S430" t="s">
        <v>56</v>
      </c>
      <c r="T430" t="s">
        <v>57</v>
      </c>
      <c r="U430" t="s">
        <v>39</v>
      </c>
      <c r="V430" t="s">
        <v>50</v>
      </c>
      <c r="W430" t="s">
        <v>922</v>
      </c>
      <c r="X430" t="s">
        <v>0</v>
      </c>
      <c r="Y430">
        <v>9007199254741417</v>
      </c>
      <c r="Z430">
        <v>0</v>
      </c>
      <c r="AA430" t="s">
        <v>50</v>
      </c>
      <c r="AB430" t="b">
        <v>0</v>
      </c>
      <c r="AD430" s="3">
        <v>0.125</v>
      </c>
      <c r="AE430" s="2">
        <v>45906.5</v>
      </c>
      <c r="AF430" t="s">
        <v>60</v>
      </c>
    </row>
    <row r="431">
      <c r="A431" t="s">
        <v>923</v>
      </c>
      <c r="B431" s="2">
        <v>45905.5</v>
      </c>
      <c r="C431" t="s">
        <v>62</v>
      </c>
      <c r="D431" t="s">
        <f>'客户档案'!B5</f>
        <v>63</v>
      </c>
      <c r="E431" t="s">
        <v>51</v>
      </c>
      <c r="F431" t="s">
        <v>52</v>
      </c>
      <c r="G431" t="s">
        <f>'商品目录'!B4</f>
        <v>53</v>
      </c>
      <c r="H431" t="s">
        <v>54</v>
      </c>
      <c r="I431">
        <v>2</v>
      </c>
      <c r="J431" s="4">
        <v>129</v>
      </c>
      <c r="K431" s="4">
        <f>I431*J431</f>
        <v>258</v>
      </c>
      <c r="L431" s="3">
        <v>0.5</v>
      </c>
      <c r="M431" s="4">
        <f>K431*L431</f>
        <v>129</v>
      </c>
      <c r="N431" s="4">
        <v>20</v>
      </c>
      <c r="O431" s="4">
        <f>K431-M431+N431</f>
        <v>149</v>
      </c>
      <c r="P431" t="s">
        <v>43</v>
      </c>
      <c r="Q431" t="b">
        <v>1</v>
      </c>
      <c r="R431" t="s">
        <v>55</v>
      </c>
      <c r="S431" t="s">
        <v>68</v>
      </c>
      <c r="T431" t="s">
        <v>69</v>
      </c>
      <c r="U431" t="s">
        <v>51</v>
      </c>
      <c r="V431" t="s">
        <v>63</v>
      </c>
      <c r="W431" t="s">
        <v>924</v>
      </c>
      <c r="X431" t="s">
        <v>59</v>
      </c>
      <c r="Y431">
        <v>9007199254741418</v>
      </c>
      <c r="Z431">
        <v>2</v>
      </c>
      <c r="AA431" t="s">
        <v>63</v>
      </c>
      <c r="AB431" t="b">
        <v>1</v>
      </c>
      <c r="AD431" s="3">
        <v>0.125</v>
      </c>
      <c r="AE431" s="2">
        <v>45907.5</v>
      </c>
      <c r="AF431" t="s">
        <v>60</v>
      </c>
    </row>
    <row r="432">
      <c r="A432" t="s">
        <v>925</v>
      </c>
      <c r="B432" s="2">
        <v>45906.5</v>
      </c>
      <c r="C432" t="s">
        <v>37</v>
      </c>
      <c r="D432" t="s">
        <f>'客户档案'!B3</f>
        <v>38</v>
      </c>
      <c r="E432" t="s">
        <v>64</v>
      </c>
      <c r="F432" t="s">
        <v>65</v>
      </c>
      <c r="G432" t="s">
        <f>'商品目录'!B5</f>
        <v>66</v>
      </c>
      <c r="H432" t="s">
        <v>67</v>
      </c>
      <c r="I432">
        <v>4</v>
      </c>
      <c r="J432" s="4">
        <v>45</v>
      </c>
      <c r="K432" s="4">
        <f>I432*J432</f>
        <v>180</v>
      </c>
      <c r="L432" s="3">
        <v>0</v>
      </c>
      <c r="M432" s="4">
        <f>K432*L432</f>
        <v>0</v>
      </c>
      <c r="N432" s="4">
        <v>0</v>
      </c>
      <c r="O432" s="4">
        <f>K432-M432+N432</f>
        <v>180</v>
      </c>
      <c r="P432" t="s">
        <v>43</v>
      </c>
      <c r="Q432" t="b">
        <v>1</v>
      </c>
      <c r="R432" t="s">
        <v>55</v>
      </c>
      <c r="S432" t="s">
        <v>45</v>
      </c>
      <c r="T432" t="s">
        <v>46</v>
      </c>
      <c r="U432" t="s">
        <v>70</v>
      </c>
      <c r="V432" t="s">
        <v>38</v>
      </c>
      <c r="W432" t="s">
        <v>926</v>
      </c>
      <c r="X432" t="s">
        <v>72</v>
      </c>
      <c r="Y432">
        <v>9007199254741419</v>
      </c>
      <c r="Z432">
        <v>0</v>
      </c>
      <c r="AA432" t="s">
        <v>38</v>
      </c>
      <c r="AB432" t="b">
        <v>0</v>
      </c>
      <c r="AD432" s="3">
        <v>0.125</v>
      </c>
      <c r="AE432" s="2">
        <v>45908.5</v>
      </c>
      <c r="AF432" t="s">
        <v>60</v>
      </c>
    </row>
    <row r="433">
      <c r="A433" t="s">
        <v>927</v>
      </c>
      <c r="B433" s="2">
        <v>45907.5</v>
      </c>
      <c r="C433" t="s">
        <v>49</v>
      </c>
      <c r="D433" t="s">
        <f>'客户档案'!B4</f>
        <v>50</v>
      </c>
      <c r="E433" t="s">
        <v>74</v>
      </c>
      <c r="F433" t="s">
        <v>75</v>
      </c>
      <c r="G433" t="s">
        <f>'商品目录'!B6</f>
        <v>76</v>
      </c>
      <c r="H433" t="s">
        <v>77</v>
      </c>
      <c r="I433">
        <v>6</v>
      </c>
      <c r="J433" s="4">
        <v>8</v>
      </c>
      <c r="K433" s="4">
        <f>I433*J433</f>
        <v>48</v>
      </c>
      <c r="L433" s="3">
        <v>0.5</v>
      </c>
      <c r="M433" s="4">
        <f>K433*L433</f>
        <v>24</v>
      </c>
      <c r="N433" s="4">
        <v>10</v>
      </c>
      <c r="O433" s="4">
        <f>K433-M433+N433</f>
        <v>34</v>
      </c>
      <c r="P433" t="s">
        <v>43</v>
      </c>
      <c r="Q433" t="b">
        <v>1</v>
      </c>
      <c r="R433" t="s">
        <v>55</v>
      </c>
      <c r="S433" t="s">
        <v>56</v>
      </c>
      <c r="T433" t="s">
        <v>57</v>
      </c>
      <c r="U433" t="s">
        <v>78</v>
      </c>
      <c r="V433" t="s">
        <v>50</v>
      </c>
      <c r="W433" t="s">
        <v>928</v>
      </c>
      <c r="X433" t="s">
        <v>80</v>
      </c>
      <c r="Y433">
        <v>9007199254741420</v>
      </c>
      <c r="Z433">
        <v>0</v>
      </c>
      <c r="AA433" t="s">
        <v>50</v>
      </c>
      <c r="AB433" t="b">
        <v>1</v>
      </c>
      <c r="AD433" s="3">
        <v>0.125</v>
      </c>
      <c r="AE433" s="2">
        <v>45909.5</v>
      </c>
      <c r="AF433" t="s">
        <v>60</v>
      </c>
    </row>
    <row r="434">
      <c r="A434" t="s">
        <v>929</v>
      </c>
      <c r="B434" s="2">
        <v>45908.5</v>
      </c>
      <c r="C434" t="s">
        <v>62</v>
      </c>
      <c r="D434" t="s">
        <f>'客户档案'!B5</f>
        <v>63</v>
      </c>
      <c r="E434" t="s">
        <v>39</v>
      </c>
      <c r="F434" t="s">
        <v>40</v>
      </c>
      <c r="G434" t="s">
        <f>'商品目录'!B3</f>
        <v>41</v>
      </c>
      <c r="H434" t="s">
        <v>42</v>
      </c>
      <c r="I434">
        <v>8</v>
      </c>
      <c r="J434" s="4">
        <v>99</v>
      </c>
      <c r="K434" s="4">
        <f>I434*J434</f>
        <v>792</v>
      </c>
      <c r="L434" s="3">
        <v>0</v>
      </c>
      <c r="M434" s="4">
        <f>K434*L434</f>
        <v>0</v>
      </c>
      <c r="N434" s="4">
        <v>20</v>
      </c>
      <c r="O434" s="4">
        <f>K434-M434+N434</f>
        <v>812</v>
      </c>
      <c r="P434" t="s">
        <v>43</v>
      </c>
      <c r="Q434" t="b">
        <v>0</v>
      </c>
      <c r="R434" t="s">
        <v>44</v>
      </c>
      <c r="S434" t="s">
        <v>68</v>
      </c>
      <c r="T434" t="s">
        <v>69</v>
      </c>
      <c r="U434" t="s">
        <v>39</v>
      </c>
      <c r="V434" t="s">
        <v>63</v>
      </c>
      <c r="W434" t="s">
        <v>930</v>
      </c>
      <c r="X434" t="s">
        <v>0</v>
      </c>
      <c r="Y434">
        <v>9007199254741421</v>
      </c>
      <c r="Z434">
        <v>0</v>
      </c>
      <c r="AA434" t="s">
        <v>63</v>
      </c>
      <c r="AB434" t="b">
        <v>0</v>
      </c>
      <c r="AD434" s="3">
        <v>0.125</v>
      </c>
      <c r="AE434" s="2">
        <v>45910.5</v>
      </c>
      <c r="AF434" t="s">
        <v>60</v>
      </c>
    </row>
    <row r="435">
      <c r="A435" t="s">
        <v>931</v>
      </c>
      <c r="B435" s="2">
        <v>45909.5</v>
      </c>
      <c r="C435" t="s">
        <v>37</v>
      </c>
      <c r="D435" t="s">
        <f>'客户档案'!B3</f>
        <v>38</v>
      </c>
      <c r="E435" t="s">
        <v>51</v>
      </c>
      <c r="F435" t="s">
        <v>52</v>
      </c>
      <c r="G435" t="s">
        <f>'商品目录'!B4</f>
        <v>53</v>
      </c>
      <c r="H435" t="s">
        <v>54</v>
      </c>
      <c r="I435">
        <v>10</v>
      </c>
      <c r="J435" s="4">
        <v>129</v>
      </c>
      <c r="K435" s="4">
        <f>I435*J435</f>
        <v>1290</v>
      </c>
      <c r="L435" s="3">
        <v>0.5</v>
      </c>
      <c r="M435" s="4">
        <f>K435*L435</f>
        <v>645</v>
      </c>
      <c r="N435" s="4">
        <v>0</v>
      </c>
      <c r="O435" s="4">
        <f>K435-M435+N435</f>
        <v>645</v>
      </c>
      <c r="P435" t="s">
        <v>43</v>
      </c>
      <c r="Q435" t="b">
        <v>1</v>
      </c>
      <c r="R435" t="s">
        <v>55</v>
      </c>
      <c r="S435" t="s">
        <v>45</v>
      </c>
      <c r="T435" t="s">
        <v>46</v>
      </c>
      <c r="U435" t="s">
        <v>51</v>
      </c>
      <c r="V435" t="s">
        <v>38</v>
      </c>
      <c r="W435" t="s">
        <v>932</v>
      </c>
      <c r="X435" t="s">
        <v>59</v>
      </c>
      <c r="Y435">
        <v>9007199254741422</v>
      </c>
      <c r="Z435">
        <v>0</v>
      </c>
      <c r="AA435" t="s">
        <v>38</v>
      </c>
      <c r="AB435" t="b">
        <v>1</v>
      </c>
      <c r="AD435" s="3">
        <v>0.125</v>
      </c>
      <c r="AE435" s="2">
        <v>45911.5</v>
      </c>
      <c r="AF435" t="s">
        <v>60</v>
      </c>
    </row>
    <row r="436">
      <c r="A436" t="s">
        <v>933</v>
      </c>
      <c r="B436" s="2">
        <v>45910.5</v>
      </c>
      <c r="C436" t="s">
        <v>49</v>
      </c>
      <c r="D436" t="s">
        <f>'客户档案'!B4</f>
        <v>50</v>
      </c>
      <c r="E436" t="s">
        <v>64</v>
      </c>
      <c r="F436" t="s">
        <v>65</v>
      </c>
      <c r="G436" t="s">
        <f>'商品目录'!B5</f>
        <v>66</v>
      </c>
      <c r="H436" t="s">
        <v>67</v>
      </c>
      <c r="I436">
        <v>2</v>
      </c>
      <c r="J436" s="4">
        <v>45</v>
      </c>
      <c r="K436" s="4">
        <f>I436*J436</f>
        <v>90</v>
      </c>
      <c r="L436" s="3">
        <v>0</v>
      </c>
      <c r="M436" s="4">
        <f>K436*L436</f>
        <v>0</v>
      </c>
      <c r="N436" s="4">
        <v>10</v>
      </c>
      <c r="O436" s="4">
        <f>K436-M436+N436</f>
        <v>100</v>
      </c>
      <c r="P436" t="s">
        <v>43</v>
      </c>
      <c r="Q436" t="b">
        <v>1</v>
      </c>
      <c r="R436" t="s">
        <v>55</v>
      </c>
      <c r="S436" t="s">
        <v>56</v>
      </c>
      <c r="T436" t="s">
        <v>57</v>
      </c>
      <c r="U436" t="s">
        <v>70</v>
      </c>
      <c r="V436" t="s">
        <v>50</v>
      </c>
      <c r="W436" t="s">
        <v>934</v>
      </c>
      <c r="X436" t="s">
        <v>72</v>
      </c>
      <c r="Y436">
        <v>9007199254741423</v>
      </c>
      <c r="Z436">
        <v>0</v>
      </c>
      <c r="AA436" t="s">
        <v>50</v>
      </c>
      <c r="AB436" t="b">
        <v>0</v>
      </c>
      <c r="AD436" s="3">
        <v>0.125</v>
      </c>
      <c r="AE436" s="2">
        <v>45912.5</v>
      </c>
      <c r="AF436" t="s">
        <v>60</v>
      </c>
    </row>
    <row r="437">
      <c r="A437" t="s">
        <v>935</v>
      </c>
      <c r="B437" s="2">
        <v>45911.5</v>
      </c>
      <c r="C437" t="s">
        <v>62</v>
      </c>
      <c r="D437" t="s">
        <f>'客户档案'!B5</f>
        <v>63</v>
      </c>
      <c r="E437" t="s">
        <v>74</v>
      </c>
      <c r="F437" t="s">
        <v>75</v>
      </c>
      <c r="G437" t="s">
        <f>'商品目录'!B6</f>
        <v>76</v>
      </c>
      <c r="H437" t="s">
        <v>77</v>
      </c>
      <c r="I437">
        <v>4</v>
      </c>
      <c r="J437" s="4">
        <v>8</v>
      </c>
      <c r="K437" s="4">
        <f>I437*J437</f>
        <v>32</v>
      </c>
      <c r="L437" s="3">
        <v>0.5</v>
      </c>
      <c r="M437" s="4">
        <f>K437*L437</f>
        <v>16</v>
      </c>
      <c r="N437" s="4">
        <v>20</v>
      </c>
      <c r="O437" s="4">
        <f>K437-M437+N437</f>
        <v>36</v>
      </c>
      <c r="P437" t="s">
        <v>43</v>
      </c>
      <c r="Q437" t="b">
        <v>1</v>
      </c>
      <c r="R437" t="s">
        <v>55</v>
      </c>
      <c r="S437" t="s">
        <v>68</v>
      </c>
      <c r="T437" t="s">
        <v>69</v>
      </c>
      <c r="U437" t="s">
        <v>78</v>
      </c>
      <c r="V437" t="s">
        <v>63</v>
      </c>
      <c r="W437" t="s">
        <v>936</v>
      </c>
      <c r="X437" t="s">
        <v>80</v>
      </c>
      <c r="Y437">
        <v>9007199254741424</v>
      </c>
      <c r="Z437">
        <v>0</v>
      </c>
      <c r="AA437" t="s">
        <v>63</v>
      </c>
      <c r="AB437" t="b">
        <v>1</v>
      </c>
      <c r="AD437" s="3">
        <v>0.125</v>
      </c>
      <c r="AE437" s="2">
        <v>45913.5</v>
      </c>
      <c r="AF437" t="s">
        <v>60</v>
      </c>
    </row>
    <row r="438">
      <c r="A438" t="s">
        <v>937</v>
      </c>
      <c r="B438" s="2">
        <v>45912.5</v>
      </c>
      <c r="C438" t="s">
        <v>37</v>
      </c>
      <c r="D438" t="s">
        <f>'客户档案'!B3</f>
        <v>38</v>
      </c>
      <c r="E438" t="s">
        <v>39</v>
      </c>
      <c r="F438" t="s">
        <v>40</v>
      </c>
      <c r="G438" t="s">
        <f>'商品目录'!B3</f>
        <v>41</v>
      </c>
      <c r="H438" t="s">
        <v>42</v>
      </c>
      <c r="I438">
        <v>6</v>
      </c>
      <c r="J438" s="4">
        <v>99</v>
      </c>
      <c r="K438" s="4">
        <f>I438*J438</f>
        <v>594</v>
      </c>
      <c r="L438" s="3">
        <v>0</v>
      </c>
      <c r="M438" s="4">
        <f>K438*L438</f>
        <v>0</v>
      </c>
      <c r="N438" s="4">
        <v>0</v>
      </c>
      <c r="O438" s="4">
        <f>K438-M438+N438</f>
        <v>594</v>
      </c>
      <c r="P438" t="s">
        <v>43</v>
      </c>
      <c r="Q438" t="b">
        <v>0</v>
      </c>
      <c r="R438" t="s">
        <v>44</v>
      </c>
      <c r="S438" t="s">
        <v>45</v>
      </c>
      <c r="T438" t="s">
        <v>46</v>
      </c>
      <c r="U438" t="s">
        <v>39</v>
      </c>
      <c r="V438" t="s">
        <v>38</v>
      </c>
      <c r="W438" t="s">
        <v>938</v>
      </c>
      <c r="X438" t="s">
        <v>0</v>
      </c>
      <c r="Y438">
        <v>9007199254741425</v>
      </c>
      <c r="Z438">
        <v>0</v>
      </c>
      <c r="AA438" t="s">
        <v>38</v>
      </c>
      <c r="AB438" t="b">
        <v>0</v>
      </c>
      <c r="AD438" s="3">
        <v>0.125</v>
      </c>
      <c r="AE438" s="2">
        <v>45914.5</v>
      </c>
      <c r="AF438" t="s">
        <v>60</v>
      </c>
    </row>
    <row r="439">
      <c r="A439" t="s">
        <v>939</v>
      </c>
      <c r="B439" s="2">
        <v>45913.5</v>
      </c>
      <c r="C439" t="s">
        <v>49</v>
      </c>
      <c r="D439" t="s">
        <f>'客户档案'!B4</f>
        <v>50</v>
      </c>
      <c r="E439" t="s">
        <v>51</v>
      </c>
      <c r="F439" t="s">
        <v>52</v>
      </c>
      <c r="G439" t="s">
        <f>'商品目录'!B4</f>
        <v>53</v>
      </c>
      <c r="H439" t="s">
        <v>54</v>
      </c>
      <c r="I439">
        <v>8</v>
      </c>
      <c r="J439" s="4">
        <v>129</v>
      </c>
      <c r="K439" s="4">
        <f>I439*J439</f>
        <v>1032</v>
      </c>
      <c r="L439" s="3">
        <v>0.5</v>
      </c>
      <c r="M439" s="4">
        <f>K439*L439</f>
        <v>516</v>
      </c>
      <c r="N439" s="4">
        <v>10</v>
      </c>
      <c r="O439" s="4">
        <f>K439-M439+N439</f>
        <v>526</v>
      </c>
      <c r="P439" t="s">
        <v>43</v>
      </c>
      <c r="Q439" t="b">
        <v>1</v>
      </c>
      <c r="R439" t="s">
        <v>55</v>
      </c>
      <c r="S439" t="s">
        <v>56</v>
      </c>
      <c r="T439" t="s">
        <v>57</v>
      </c>
      <c r="U439" t="s">
        <v>51</v>
      </c>
      <c r="V439" t="s">
        <v>50</v>
      </c>
      <c r="W439" t="s">
        <v>940</v>
      </c>
      <c r="X439" t="s">
        <v>59</v>
      </c>
      <c r="Y439">
        <v>9007199254741426</v>
      </c>
      <c r="Z439">
        <v>0</v>
      </c>
      <c r="AA439" t="s">
        <v>50</v>
      </c>
      <c r="AB439" t="b">
        <v>1</v>
      </c>
      <c r="AD439" s="3">
        <v>0.125</v>
      </c>
      <c r="AE439" s="2">
        <v>45915.5</v>
      </c>
      <c r="AF439" t="s">
        <v>60</v>
      </c>
    </row>
    <row r="440">
      <c r="A440" t="s">
        <v>941</v>
      </c>
      <c r="B440" s="2">
        <v>45914.5</v>
      </c>
      <c r="C440" t="s">
        <v>62</v>
      </c>
      <c r="D440" t="s">
        <f>'客户档案'!B5</f>
        <v>63</v>
      </c>
      <c r="E440" t="s">
        <v>64</v>
      </c>
      <c r="F440" t="s">
        <v>65</v>
      </c>
      <c r="G440" t="s">
        <f>'商品目录'!B5</f>
        <v>66</v>
      </c>
      <c r="H440" t="s">
        <v>67</v>
      </c>
      <c r="I440">
        <v>10</v>
      </c>
      <c r="J440" s="4">
        <v>45</v>
      </c>
      <c r="K440" s="4">
        <f>I440*J440</f>
        <v>450</v>
      </c>
      <c r="L440" s="3">
        <v>0</v>
      </c>
      <c r="M440" s="4">
        <f>K440*L440</f>
        <v>0</v>
      </c>
      <c r="N440" s="4">
        <v>20</v>
      </c>
      <c r="O440" s="4">
        <f>K440-M440+N440</f>
        <v>470</v>
      </c>
      <c r="P440" t="s">
        <v>43</v>
      </c>
      <c r="Q440" t="b">
        <v>1</v>
      </c>
      <c r="R440" t="s">
        <v>55</v>
      </c>
      <c r="S440" t="s">
        <v>68</v>
      </c>
      <c r="T440" t="s">
        <v>69</v>
      </c>
      <c r="U440" t="s">
        <v>70</v>
      </c>
      <c r="V440" t="s">
        <v>63</v>
      </c>
      <c r="W440" t="s">
        <v>942</v>
      </c>
      <c r="X440" t="s">
        <v>72</v>
      </c>
      <c r="Y440">
        <v>9007199254741427</v>
      </c>
      <c r="Z440">
        <v>0</v>
      </c>
      <c r="AA440" t="s">
        <v>63</v>
      </c>
      <c r="AB440" t="b">
        <v>0</v>
      </c>
      <c r="AD440" s="3">
        <v>0.125</v>
      </c>
      <c r="AE440" s="2">
        <v>45916.5</v>
      </c>
      <c r="AF440" t="s">
        <v>60</v>
      </c>
    </row>
    <row r="441">
      <c r="A441" t="s">
        <v>943</v>
      </c>
      <c r="B441" s="2">
        <v>45915.5</v>
      </c>
      <c r="C441" t="s">
        <v>37</v>
      </c>
      <c r="D441" t="s">
        <f>'客户档案'!B3</f>
        <v>38</v>
      </c>
      <c r="E441" t="s">
        <v>74</v>
      </c>
      <c r="F441" t="s">
        <v>75</v>
      </c>
      <c r="G441" t="s">
        <f>'商品目录'!B6</f>
        <v>76</v>
      </c>
      <c r="H441" t="s">
        <v>77</v>
      </c>
      <c r="I441">
        <v>2</v>
      </c>
      <c r="J441" s="4">
        <v>8</v>
      </c>
      <c r="K441" s="4">
        <f>I441*J441</f>
        <v>16</v>
      </c>
      <c r="L441" s="3">
        <v>0.5</v>
      </c>
      <c r="M441" s="4">
        <f>K441*L441</f>
        <v>8</v>
      </c>
      <c r="N441" s="4">
        <v>0</v>
      </c>
      <c r="O441" s="4">
        <f>K441-M441+N441</f>
        <v>8</v>
      </c>
      <c r="P441" t="s">
        <v>43</v>
      </c>
      <c r="Q441" t="b">
        <v>1</v>
      </c>
      <c r="R441" t="s">
        <v>55</v>
      </c>
      <c r="S441" t="s">
        <v>45</v>
      </c>
      <c r="T441" t="s">
        <v>46</v>
      </c>
      <c r="U441" t="s">
        <v>78</v>
      </c>
      <c r="V441" t="s">
        <v>38</v>
      </c>
      <c r="W441" t="s">
        <v>944</v>
      </c>
      <c r="X441" t="s">
        <v>80</v>
      </c>
      <c r="Y441">
        <v>9007199254741428</v>
      </c>
      <c r="Z441">
        <v>0</v>
      </c>
      <c r="AA441" t="s">
        <v>38</v>
      </c>
      <c r="AB441" t="b">
        <v>1</v>
      </c>
      <c r="AD441" s="3">
        <v>0.125</v>
      </c>
      <c r="AE441" s="2">
        <v>45917.5</v>
      </c>
      <c r="AF441" t="s">
        <v>60</v>
      </c>
    </row>
    <row r="442">
      <c r="A442" t="s">
        <v>945</v>
      </c>
      <c r="B442" s="2">
        <v>45916.5</v>
      </c>
      <c r="C442" t="s">
        <v>49</v>
      </c>
      <c r="D442" t="s">
        <f>'客户档案'!B4</f>
        <v>50</v>
      </c>
      <c r="E442" t="s">
        <v>39</v>
      </c>
      <c r="F442" t="s">
        <v>40</v>
      </c>
      <c r="G442" t="s">
        <f>'商品目录'!B3</f>
        <v>41</v>
      </c>
      <c r="H442" t="s">
        <v>42</v>
      </c>
      <c r="I442">
        <v>4</v>
      </c>
      <c r="J442" s="4">
        <v>99</v>
      </c>
      <c r="K442" s="4">
        <f>I442*J442</f>
        <v>396</v>
      </c>
      <c r="L442" s="3">
        <v>0</v>
      </c>
      <c r="M442" s="4">
        <f>K442*L442</f>
        <v>0</v>
      </c>
      <c r="N442" s="4">
        <v>10</v>
      </c>
      <c r="O442" s="4">
        <f>K442-M442+N442</f>
        <v>406</v>
      </c>
      <c r="P442" t="s">
        <v>43</v>
      </c>
      <c r="Q442" t="b">
        <v>0</v>
      </c>
      <c r="R442" t="s">
        <v>44</v>
      </c>
      <c r="S442" t="s">
        <v>56</v>
      </c>
      <c r="T442" t="s">
        <v>57</v>
      </c>
      <c r="U442" t="s">
        <v>39</v>
      </c>
      <c r="V442" t="s">
        <v>50</v>
      </c>
      <c r="W442" t="s">
        <v>946</v>
      </c>
      <c r="X442" t="s">
        <v>0</v>
      </c>
      <c r="Y442">
        <v>9007199254741429</v>
      </c>
      <c r="Z442">
        <v>0</v>
      </c>
      <c r="AA442" t="s">
        <v>50</v>
      </c>
      <c r="AB442" t="b">
        <v>0</v>
      </c>
      <c r="AD442" s="3">
        <v>0.125</v>
      </c>
      <c r="AE442" s="2">
        <v>45918.5</v>
      </c>
      <c r="AF442" t="s">
        <v>60</v>
      </c>
    </row>
    <row r="443">
      <c r="A443" t="s">
        <v>947</v>
      </c>
      <c r="B443" s="2">
        <v>45917.5</v>
      </c>
      <c r="C443" t="s">
        <v>62</v>
      </c>
      <c r="D443" t="s">
        <f>'客户档案'!B5</f>
        <v>63</v>
      </c>
      <c r="E443" t="s">
        <v>51</v>
      </c>
      <c r="F443" t="s">
        <v>52</v>
      </c>
      <c r="G443" t="s">
        <f>'商品目录'!B4</f>
        <v>53</v>
      </c>
      <c r="H443" t="s">
        <v>54</v>
      </c>
      <c r="I443">
        <v>6</v>
      </c>
      <c r="J443" s="4">
        <v>129</v>
      </c>
      <c r="K443" s="4">
        <f>I443*J443</f>
        <v>774</v>
      </c>
      <c r="L443" s="3">
        <v>0.5</v>
      </c>
      <c r="M443" s="4">
        <f>K443*L443</f>
        <v>387</v>
      </c>
      <c r="N443" s="4">
        <v>20</v>
      </c>
      <c r="O443" s="4">
        <f>K443-M443+N443</f>
        <v>407</v>
      </c>
      <c r="P443" t="s">
        <v>43</v>
      </c>
      <c r="Q443" t="b">
        <v>1</v>
      </c>
      <c r="R443" t="s">
        <v>55</v>
      </c>
      <c r="S443" t="s">
        <v>68</v>
      </c>
      <c r="T443" t="s">
        <v>69</v>
      </c>
      <c r="U443" t="s">
        <v>51</v>
      </c>
      <c r="V443" t="s">
        <v>63</v>
      </c>
      <c r="W443" t="s">
        <v>948</v>
      </c>
      <c r="X443" t="s">
        <v>59</v>
      </c>
      <c r="Y443">
        <v>9007199254741430</v>
      </c>
      <c r="Z443">
        <v>0</v>
      </c>
      <c r="AA443" t="s">
        <v>63</v>
      </c>
      <c r="AB443" t="b">
        <v>1</v>
      </c>
      <c r="AD443" s="3">
        <v>0.125</v>
      </c>
      <c r="AE443" s="2">
        <v>45919.5</v>
      </c>
      <c r="AF443" t="s">
        <v>60</v>
      </c>
    </row>
    <row r="444">
      <c r="A444" t="s">
        <v>949</v>
      </c>
      <c r="B444" s="2">
        <v>45918.5</v>
      </c>
      <c r="C444" t="s">
        <v>37</v>
      </c>
      <c r="D444" t="s">
        <f>'客户档案'!B3</f>
        <v>38</v>
      </c>
      <c r="E444" t="s">
        <v>64</v>
      </c>
      <c r="F444" t="s">
        <v>65</v>
      </c>
      <c r="G444" t="s">
        <f>'商品目录'!B5</f>
        <v>66</v>
      </c>
      <c r="H444" t="s">
        <v>67</v>
      </c>
      <c r="I444">
        <v>8</v>
      </c>
      <c r="J444" s="4">
        <v>45</v>
      </c>
      <c r="K444" s="4">
        <f>I444*J444</f>
        <v>360</v>
      </c>
      <c r="L444" s="3">
        <v>0</v>
      </c>
      <c r="M444" s="4">
        <f>K444*L444</f>
        <v>0</v>
      </c>
      <c r="N444" s="4">
        <v>0</v>
      </c>
      <c r="O444" s="4">
        <f>K444-M444+N444</f>
        <v>360</v>
      </c>
      <c r="P444" t="s">
        <v>43</v>
      </c>
      <c r="Q444" t="b">
        <v>1</v>
      </c>
      <c r="R444" t="s">
        <v>55</v>
      </c>
      <c r="S444" t="s">
        <v>45</v>
      </c>
      <c r="T444" t="s">
        <v>46</v>
      </c>
      <c r="U444" t="s">
        <v>70</v>
      </c>
      <c r="V444" t="s">
        <v>38</v>
      </c>
      <c r="W444" t="s">
        <v>950</v>
      </c>
      <c r="X444" t="s">
        <v>72</v>
      </c>
      <c r="Y444">
        <v>9007199254741431</v>
      </c>
      <c r="Z444">
        <v>0</v>
      </c>
      <c r="AA444" t="s">
        <v>38</v>
      </c>
      <c r="AB444" t="b">
        <v>0</v>
      </c>
      <c r="AD444" s="3">
        <v>0.125</v>
      </c>
      <c r="AE444" s="2">
        <v>45920.5</v>
      </c>
      <c r="AF444" t="s">
        <v>60</v>
      </c>
    </row>
    <row r="445">
      <c r="A445" t="s">
        <v>951</v>
      </c>
      <c r="B445" s="2">
        <v>45919.5</v>
      </c>
      <c r="C445" t="s">
        <v>49</v>
      </c>
      <c r="D445" t="s">
        <f>'客户档案'!B4</f>
        <v>50</v>
      </c>
      <c r="E445" t="s">
        <v>74</v>
      </c>
      <c r="F445" t="s">
        <v>75</v>
      </c>
      <c r="G445" t="s">
        <f>'商品目录'!B6</f>
        <v>76</v>
      </c>
      <c r="H445" t="s">
        <v>77</v>
      </c>
      <c r="I445">
        <v>10</v>
      </c>
      <c r="J445" s="4">
        <v>8</v>
      </c>
      <c r="K445" s="4">
        <f>I445*J445</f>
        <v>80</v>
      </c>
      <c r="L445" s="3">
        <v>0.5</v>
      </c>
      <c r="M445" s="4">
        <f>K445*L445</f>
        <v>40</v>
      </c>
      <c r="N445" s="4">
        <v>10</v>
      </c>
      <c r="O445" s="4">
        <f>K445-M445+N445</f>
        <v>50</v>
      </c>
      <c r="P445" t="s">
        <v>43</v>
      </c>
      <c r="Q445" t="b">
        <v>1</v>
      </c>
      <c r="R445" t="s">
        <v>55</v>
      </c>
      <c r="S445" t="s">
        <v>56</v>
      </c>
      <c r="T445" t="s">
        <v>57</v>
      </c>
      <c r="U445" t="s">
        <v>78</v>
      </c>
      <c r="V445" t="s">
        <v>50</v>
      </c>
      <c r="W445" t="s">
        <v>952</v>
      </c>
      <c r="X445" t="s">
        <v>80</v>
      </c>
      <c r="Y445">
        <v>9007199254741432</v>
      </c>
      <c r="Z445">
        <v>0</v>
      </c>
      <c r="AA445" t="s">
        <v>50</v>
      </c>
      <c r="AB445" t="b">
        <v>1</v>
      </c>
      <c r="AD445" s="3">
        <v>0.125</v>
      </c>
      <c r="AE445" s="2">
        <v>45921.5</v>
      </c>
      <c r="AF445" t="s">
        <v>60</v>
      </c>
    </row>
    <row r="446">
      <c r="A446" t="s">
        <v>953</v>
      </c>
      <c r="B446" s="2">
        <v>45920.5</v>
      </c>
      <c r="C446" t="s">
        <v>62</v>
      </c>
      <c r="D446" t="s">
        <f>'客户档案'!B5</f>
        <v>63</v>
      </c>
      <c r="E446" t="s">
        <v>39</v>
      </c>
      <c r="F446" t="s">
        <v>40</v>
      </c>
      <c r="G446" t="s">
        <f>'商品目录'!B3</f>
        <v>41</v>
      </c>
      <c r="H446" t="s">
        <v>42</v>
      </c>
      <c r="I446">
        <v>2</v>
      </c>
      <c r="J446" s="4">
        <v>99</v>
      </c>
      <c r="K446" s="4">
        <f>I446*J446</f>
        <v>198</v>
      </c>
      <c r="L446" s="3">
        <v>0</v>
      </c>
      <c r="M446" s="4">
        <f>K446*L446</f>
        <v>0</v>
      </c>
      <c r="N446" s="4">
        <v>20</v>
      </c>
      <c r="O446" s="4">
        <f>K446-M446+N446</f>
        <v>218</v>
      </c>
      <c r="P446" t="s">
        <v>43</v>
      </c>
      <c r="Q446" t="b">
        <v>0</v>
      </c>
      <c r="R446" t="s">
        <v>44</v>
      </c>
      <c r="S446" t="s">
        <v>68</v>
      </c>
      <c r="T446" t="s">
        <v>69</v>
      </c>
      <c r="U446" t="s">
        <v>39</v>
      </c>
      <c r="V446" t="s">
        <v>63</v>
      </c>
      <c r="W446" t="s">
        <v>954</v>
      </c>
      <c r="X446" t="s">
        <v>0</v>
      </c>
      <c r="Y446">
        <v>9007199254741433</v>
      </c>
      <c r="Z446">
        <v>0</v>
      </c>
      <c r="AA446" t="s">
        <v>63</v>
      </c>
      <c r="AB446" t="b">
        <v>0</v>
      </c>
      <c r="AD446" s="3">
        <v>0.125</v>
      </c>
      <c r="AE446" s="2">
        <v>45922.5</v>
      </c>
      <c r="AF446" t="s">
        <v>60</v>
      </c>
    </row>
    <row r="447">
      <c r="A447" t="s">
        <v>955</v>
      </c>
      <c r="B447" s="2">
        <v>45921.5</v>
      </c>
      <c r="C447" t="s">
        <v>37</v>
      </c>
      <c r="D447" t="s">
        <f>'客户档案'!B3</f>
        <v>38</v>
      </c>
      <c r="E447" t="s">
        <v>51</v>
      </c>
      <c r="F447" t="s">
        <v>52</v>
      </c>
      <c r="G447" t="s">
        <f>'商品目录'!B4</f>
        <v>53</v>
      </c>
      <c r="H447" t="s">
        <v>54</v>
      </c>
      <c r="I447">
        <v>4</v>
      </c>
      <c r="J447" s="4">
        <v>129</v>
      </c>
      <c r="K447" s="4">
        <f>I447*J447</f>
        <v>516</v>
      </c>
      <c r="L447" s="3">
        <v>0.5</v>
      </c>
      <c r="M447" s="4">
        <f>K447*L447</f>
        <v>258</v>
      </c>
      <c r="N447" s="4">
        <v>0</v>
      </c>
      <c r="O447" s="4">
        <f>K447-M447+N447</f>
        <v>258</v>
      </c>
      <c r="P447" t="s">
        <v>43</v>
      </c>
      <c r="Q447" t="b">
        <v>1</v>
      </c>
      <c r="R447" t="s">
        <v>55</v>
      </c>
      <c r="S447" t="s">
        <v>45</v>
      </c>
      <c r="T447" t="s">
        <v>46</v>
      </c>
      <c r="U447" t="s">
        <v>51</v>
      </c>
      <c r="V447" t="s">
        <v>38</v>
      </c>
      <c r="W447" t="s">
        <v>956</v>
      </c>
      <c r="X447" t="s">
        <v>59</v>
      </c>
      <c r="Y447">
        <v>9007199254741434</v>
      </c>
      <c r="Z447">
        <v>0</v>
      </c>
      <c r="AA447" t="s">
        <v>38</v>
      </c>
      <c r="AB447" t="b">
        <v>1</v>
      </c>
      <c r="AD447" s="3">
        <v>0.125</v>
      </c>
      <c r="AE447" s="2">
        <v>45923.5</v>
      </c>
      <c r="AF447" t="s">
        <v>60</v>
      </c>
    </row>
    <row r="448">
      <c r="A448" t="s">
        <v>957</v>
      </c>
      <c r="B448" s="2">
        <v>45922.5</v>
      </c>
      <c r="C448" t="s">
        <v>49</v>
      </c>
      <c r="D448" t="s">
        <f>'客户档案'!B4</f>
        <v>50</v>
      </c>
      <c r="E448" t="s">
        <v>64</v>
      </c>
      <c r="F448" t="s">
        <v>65</v>
      </c>
      <c r="G448" t="s">
        <f>'商品目录'!B5</f>
        <v>66</v>
      </c>
      <c r="H448" t="s">
        <v>67</v>
      </c>
      <c r="I448">
        <v>6</v>
      </c>
      <c r="J448" s="4">
        <v>45</v>
      </c>
      <c r="K448" s="4">
        <f>I448*J448</f>
        <v>270</v>
      </c>
      <c r="L448" s="3">
        <v>0</v>
      </c>
      <c r="M448" s="4">
        <f>K448*L448</f>
        <v>0</v>
      </c>
      <c r="N448" s="4">
        <v>10</v>
      </c>
      <c r="O448" s="4">
        <f>K448-M448+N448</f>
        <v>280</v>
      </c>
      <c r="P448" t="s">
        <v>43</v>
      </c>
      <c r="Q448" t="b">
        <v>1</v>
      </c>
      <c r="R448" t="s">
        <v>55</v>
      </c>
      <c r="S448" t="s">
        <v>56</v>
      </c>
      <c r="T448" t="s">
        <v>57</v>
      </c>
      <c r="U448" t="s">
        <v>70</v>
      </c>
      <c r="V448" t="s">
        <v>50</v>
      </c>
      <c r="W448" t="s">
        <v>958</v>
      </c>
      <c r="X448" t="s">
        <v>72</v>
      </c>
      <c r="Y448">
        <v>9007199254741435</v>
      </c>
      <c r="Z448">
        <v>2</v>
      </c>
      <c r="AA448" t="s">
        <v>50</v>
      </c>
      <c r="AB448" t="b">
        <v>0</v>
      </c>
      <c r="AD448" s="3">
        <v>0.125</v>
      </c>
      <c r="AE448" s="2">
        <v>45924.5</v>
      </c>
      <c r="AF448" t="s">
        <v>60</v>
      </c>
    </row>
    <row r="449">
      <c r="A449" t="s">
        <v>959</v>
      </c>
      <c r="B449" s="2">
        <v>45923.5</v>
      </c>
      <c r="C449" t="s">
        <v>62</v>
      </c>
      <c r="D449" t="s">
        <f>'客户档案'!B5</f>
        <v>63</v>
      </c>
      <c r="E449" t="s">
        <v>74</v>
      </c>
      <c r="F449" t="s">
        <v>75</v>
      </c>
      <c r="G449" t="s">
        <f>'商品目录'!B6</f>
        <v>76</v>
      </c>
      <c r="H449" t="s">
        <v>77</v>
      </c>
      <c r="I449">
        <v>8</v>
      </c>
      <c r="J449" s="4">
        <v>8</v>
      </c>
      <c r="K449" s="4">
        <f>I449*J449</f>
        <v>64</v>
      </c>
      <c r="L449" s="3">
        <v>0.5</v>
      </c>
      <c r="M449" s="4">
        <f>K449*L449</f>
        <v>32</v>
      </c>
      <c r="N449" s="4">
        <v>20</v>
      </c>
      <c r="O449" s="4">
        <f>K449-M449+N449</f>
        <v>52</v>
      </c>
      <c r="P449" t="s">
        <v>43</v>
      </c>
      <c r="Q449" t="b">
        <v>1</v>
      </c>
      <c r="R449" t="s">
        <v>55</v>
      </c>
      <c r="S449" t="s">
        <v>68</v>
      </c>
      <c r="T449" t="s">
        <v>69</v>
      </c>
      <c r="U449" t="s">
        <v>78</v>
      </c>
      <c r="V449" t="s">
        <v>63</v>
      </c>
      <c r="W449" t="s">
        <v>960</v>
      </c>
      <c r="X449" t="s">
        <v>80</v>
      </c>
      <c r="Y449">
        <v>9007199254741436</v>
      </c>
      <c r="Z449">
        <v>0</v>
      </c>
      <c r="AA449" t="s">
        <v>63</v>
      </c>
      <c r="AB449" t="b">
        <v>1</v>
      </c>
      <c r="AD449" s="3">
        <v>0.125</v>
      </c>
      <c r="AE449" s="2">
        <v>45925.5</v>
      </c>
      <c r="AF449" t="s">
        <v>60</v>
      </c>
    </row>
    <row r="450">
      <c r="A450" t="s">
        <v>961</v>
      </c>
      <c r="B450" s="2">
        <v>45924.5</v>
      </c>
      <c r="C450" t="s">
        <v>37</v>
      </c>
      <c r="D450" t="s">
        <f>'客户档案'!B3</f>
        <v>38</v>
      </c>
      <c r="E450" t="s">
        <v>39</v>
      </c>
      <c r="F450" t="s">
        <v>40</v>
      </c>
      <c r="G450" t="s">
        <f>'商品目录'!B3</f>
        <v>41</v>
      </c>
      <c r="H450" t="s">
        <v>42</v>
      </c>
      <c r="I450">
        <v>10</v>
      </c>
      <c r="J450" s="4">
        <v>99</v>
      </c>
      <c r="K450" s="4">
        <f>I450*J450</f>
        <v>990</v>
      </c>
      <c r="L450" s="3">
        <v>0</v>
      </c>
      <c r="M450" s="4">
        <f>K450*L450</f>
        <v>0</v>
      </c>
      <c r="N450" s="4">
        <v>0</v>
      </c>
      <c r="O450" s="4">
        <f>K450-M450+N450</f>
        <v>990</v>
      </c>
      <c r="P450" t="s">
        <v>43</v>
      </c>
      <c r="Q450" t="b">
        <v>0</v>
      </c>
      <c r="R450" t="s">
        <v>44</v>
      </c>
      <c r="S450" t="s">
        <v>45</v>
      </c>
      <c r="T450" t="s">
        <v>46</v>
      </c>
      <c r="U450" t="s">
        <v>39</v>
      </c>
      <c r="V450" t="s">
        <v>38</v>
      </c>
      <c r="W450" t="s">
        <v>962</v>
      </c>
      <c r="X450" t="s">
        <v>0</v>
      </c>
      <c r="Y450">
        <v>9007199254741437</v>
      </c>
      <c r="Z450">
        <v>0</v>
      </c>
      <c r="AA450" t="s">
        <v>38</v>
      </c>
      <c r="AB450" t="b">
        <v>0</v>
      </c>
      <c r="AD450" s="3">
        <v>0.125</v>
      </c>
      <c r="AE450" s="2">
        <v>45926.5</v>
      </c>
      <c r="AF450" t="s">
        <v>60</v>
      </c>
    </row>
    <row r="451">
      <c r="A451" t="s">
        <v>963</v>
      </c>
      <c r="B451" s="2">
        <v>45925.5</v>
      </c>
      <c r="C451" t="s">
        <v>49</v>
      </c>
      <c r="D451" t="s">
        <f>'客户档案'!B4</f>
        <v>50</v>
      </c>
      <c r="E451" t="s">
        <v>51</v>
      </c>
      <c r="F451" t="s">
        <v>52</v>
      </c>
      <c r="G451" t="s">
        <f>'商品目录'!B4</f>
        <v>53</v>
      </c>
      <c r="H451" t="s">
        <v>54</v>
      </c>
      <c r="I451">
        <v>2</v>
      </c>
      <c r="J451" s="4">
        <v>129</v>
      </c>
      <c r="K451" s="4">
        <f>I451*J451</f>
        <v>258</v>
      </c>
      <c r="L451" s="3">
        <v>0.5</v>
      </c>
      <c r="M451" s="4">
        <f>K451*L451</f>
        <v>129</v>
      </c>
      <c r="N451" s="4">
        <v>10</v>
      </c>
      <c r="O451" s="4">
        <f>K451-M451+N451</f>
        <v>139</v>
      </c>
      <c r="P451" t="s">
        <v>43</v>
      </c>
      <c r="Q451" t="b">
        <v>1</v>
      </c>
      <c r="R451" t="s">
        <v>55</v>
      </c>
      <c r="S451" t="s">
        <v>56</v>
      </c>
      <c r="T451" t="s">
        <v>57</v>
      </c>
      <c r="U451" t="s">
        <v>51</v>
      </c>
      <c r="V451" t="s">
        <v>50</v>
      </c>
      <c r="W451" t="s">
        <v>964</v>
      </c>
      <c r="X451" t="s">
        <v>59</v>
      </c>
      <c r="Y451">
        <v>9007199254741438</v>
      </c>
      <c r="Z451">
        <v>0</v>
      </c>
      <c r="AA451" t="s">
        <v>50</v>
      </c>
      <c r="AB451" t="b">
        <v>1</v>
      </c>
      <c r="AD451" s="3">
        <v>0.125</v>
      </c>
      <c r="AE451" s="2">
        <v>45927.5</v>
      </c>
      <c r="AF451" t="s">
        <v>60</v>
      </c>
    </row>
    <row r="452">
      <c r="A452" t="s">
        <v>965</v>
      </c>
      <c r="B452" s="2">
        <v>45926.5</v>
      </c>
      <c r="C452" t="s">
        <v>62</v>
      </c>
      <c r="D452" t="s">
        <f>'客户档案'!B5</f>
        <v>63</v>
      </c>
      <c r="E452" t="s">
        <v>64</v>
      </c>
      <c r="F452" t="s">
        <v>65</v>
      </c>
      <c r="G452" t="s">
        <f>'商品目录'!B5</f>
        <v>66</v>
      </c>
      <c r="H452" t="s">
        <v>67</v>
      </c>
      <c r="I452">
        <v>4</v>
      </c>
      <c r="J452" s="4">
        <v>45</v>
      </c>
      <c r="K452" s="4">
        <f>I452*J452</f>
        <v>180</v>
      </c>
      <c r="L452" s="3">
        <v>0</v>
      </c>
      <c r="M452" s="4">
        <f>K452*L452</f>
        <v>0</v>
      </c>
      <c r="N452" s="4">
        <v>20</v>
      </c>
      <c r="O452" s="4">
        <f>K452-M452+N452</f>
        <v>200</v>
      </c>
      <c r="P452" t="s">
        <v>43</v>
      </c>
      <c r="Q452" t="b">
        <v>1</v>
      </c>
      <c r="R452" t="s">
        <v>55</v>
      </c>
      <c r="S452" t="s">
        <v>68</v>
      </c>
      <c r="T452" t="s">
        <v>69</v>
      </c>
      <c r="U452" t="s">
        <v>70</v>
      </c>
      <c r="V452" t="s">
        <v>63</v>
      </c>
      <c r="W452" t="s">
        <v>966</v>
      </c>
      <c r="X452" t="s">
        <v>72</v>
      </c>
      <c r="Y452">
        <v>9007199254741439</v>
      </c>
      <c r="Z452">
        <v>0</v>
      </c>
      <c r="AA452" t="s">
        <v>63</v>
      </c>
      <c r="AB452" t="b">
        <v>0</v>
      </c>
      <c r="AD452" s="3">
        <v>0.125</v>
      </c>
      <c r="AE452" s="2">
        <v>45928.5</v>
      </c>
      <c r="AF452" t="s">
        <v>60</v>
      </c>
    </row>
    <row r="453">
      <c r="A453" t="s">
        <v>967</v>
      </c>
      <c r="B453" s="2">
        <v>45927.5</v>
      </c>
      <c r="C453" t="s">
        <v>37</v>
      </c>
      <c r="D453" t="s">
        <f>'客户档案'!B3</f>
        <v>38</v>
      </c>
      <c r="E453" t="s">
        <v>74</v>
      </c>
      <c r="F453" t="s">
        <v>75</v>
      </c>
      <c r="G453" t="s">
        <f>'商品目录'!B6</f>
        <v>76</v>
      </c>
      <c r="H453" t="s">
        <v>77</v>
      </c>
      <c r="I453">
        <v>6</v>
      </c>
      <c r="J453" s="4">
        <v>8</v>
      </c>
      <c r="K453" s="4">
        <f>I453*J453</f>
        <v>48</v>
      </c>
      <c r="L453" s="3">
        <v>0.5</v>
      </c>
      <c r="M453" s="4">
        <f>K453*L453</f>
        <v>24</v>
      </c>
      <c r="N453" s="4">
        <v>0</v>
      </c>
      <c r="O453" s="4">
        <f>K453-M453+N453</f>
        <v>24</v>
      </c>
      <c r="P453" t="s">
        <v>43</v>
      </c>
      <c r="Q453" t="b">
        <v>1</v>
      </c>
      <c r="R453" t="s">
        <v>55</v>
      </c>
      <c r="S453" t="s">
        <v>45</v>
      </c>
      <c r="T453" t="s">
        <v>46</v>
      </c>
      <c r="U453" t="s">
        <v>78</v>
      </c>
      <c r="V453" t="s">
        <v>38</v>
      </c>
      <c r="W453" t="s">
        <v>968</v>
      </c>
      <c r="X453" t="s">
        <v>80</v>
      </c>
      <c r="Y453">
        <v>9007199254741440</v>
      </c>
      <c r="Z453">
        <v>0</v>
      </c>
      <c r="AA453" t="s">
        <v>38</v>
      </c>
      <c r="AB453" t="b">
        <v>1</v>
      </c>
      <c r="AD453" s="3">
        <v>0.125</v>
      </c>
      <c r="AE453" s="2">
        <v>45929.5</v>
      </c>
      <c r="AF453" t="s">
        <v>60</v>
      </c>
    </row>
    <row r="454">
      <c r="A454" t="s">
        <v>969</v>
      </c>
      <c r="B454" s="2">
        <v>45900.5</v>
      </c>
      <c r="C454" t="s">
        <v>49</v>
      </c>
      <c r="D454" t="s">
        <f>'客户档案'!B4</f>
        <v>50</v>
      </c>
      <c r="E454" t="s">
        <v>39</v>
      </c>
      <c r="F454" t="s">
        <v>40</v>
      </c>
      <c r="G454" t="s">
        <f>'商品目录'!B3</f>
        <v>41</v>
      </c>
      <c r="H454" t="s">
        <v>42</v>
      </c>
      <c r="I454">
        <v>8</v>
      </c>
      <c r="J454" s="4">
        <v>99</v>
      </c>
      <c r="K454" s="4">
        <f>I454*J454</f>
        <v>792</v>
      </c>
      <c r="L454" s="3">
        <v>0</v>
      </c>
      <c r="M454" s="4">
        <f>K454*L454</f>
        <v>0</v>
      </c>
      <c r="N454" s="4">
        <v>10</v>
      </c>
      <c r="O454" s="4">
        <f>K454-M454+N454</f>
        <v>802</v>
      </c>
      <c r="P454" t="s">
        <v>43</v>
      </c>
      <c r="Q454" t="b">
        <v>0</v>
      </c>
      <c r="R454" t="s">
        <v>44</v>
      </c>
      <c r="S454" t="s">
        <v>56</v>
      </c>
      <c r="T454" t="s">
        <v>57</v>
      </c>
      <c r="U454" t="s">
        <v>39</v>
      </c>
      <c r="V454" t="s">
        <v>50</v>
      </c>
      <c r="W454" t="s">
        <v>970</v>
      </c>
      <c r="X454" t="s">
        <v>0</v>
      </c>
      <c r="Y454">
        <v>9007199254741441</v>
      </c>
      <c r="Z454">
        <v>0</v>
      </c>
      <c r="AA454" t="s">
        <v>50</v>
      </c>
      <c r="AB454" t="b">
        <v>0</v>
      </c>
      <c r="AD454" s="3">
        <v>0.125</v>
      </c>
      <c r="AE454" s="2">
        <v>45902.5</v>
      </c>
      <c r="AF454" t="s">
        <v>60</v>
      </c>
    </row>
    <row r="455">
      <c r="A455" t="s">
        <v>971</v>
      </c>
      <c r="B455" s="2">
        <v>45901.5</v>
      </c>
      <c r="C455" t="s">
        <v>62</v>
      </c>
      <c r="D455" t="s">
        <f>'客户档案'!B5</f>
        <v>63</v>
      </c>
      <c r="E455" t="s">
        <v>51</v>
      </c>
      <c r="F455" t="s">
        <v>52</v>
      </c>
      <c r="G455" t="s">
        <f>'商品目录'!B4</f>
        <v>53</v>
      </c>
      <c r="H455" t="s">
        <v>54</v>
      </c>
      <c r="I455">
        <v>10</v>
      </c>
      <c r="J455" s="4">
        <v>129</v>
      </c>
      <c r="K455" s="4">
        <f>I455*J455</f>
        <v>1290</v>
      </c>
      <c r="L455" s="3">
        <v>0.5</v>
      </c>
      <c r="M455" s="4">
        <f>K455*L455</f>
        <v>645</v>
      </c>
      <c r="N455" s="4">
        <v>20</v>
      </c>
      <c r="O455" s="4">
        <f>K455-M455+N455</f>
        <v>665</v>
      </c>
      <c r="P455" t="s">
        <v>43</v>
      </c>
      <c r="Q455" t="b">
        <v>1</v>
      </c>
      <c r="R455" t="s">
        <v>55</v>
      </c>
      <c r="S455" t="s">
        <v>68</v>
      </c>
      <c r="T455" t="s">
        <v>69</v>
      </c>
      <c r="U455" t="s">
        <v>51</v>
      </c>
      <c r="V455" t="s">
        <v>63</v>
      </c>
      <c r="W455" t="s">
        <v>972</v>
      </c>
      <c r="X455" t="s">
        <v>59</v>
      </c>
      <c r="Y455">
        <v>9007199254741442</v>
      </c>
      <c r="Z455">
        <v>0</v>
      </c>
      <c r="AA455" t="s">
        <v>63</v>
      </c>
      <c r="AB455" t="b">
        <v>1</v>
      </c>
      <c r="AD455" s="3">
        <v>0.125</v>
      </c>
      <c r="AE455" s="2">
        <v>45903.5</v>
      </c>
      <c r="AF455" t="s">
        <v>60</v>
      </c>
    </row>
    <row r="456">
      <c r="A456" t="s">
        <v>973</v>
      </c>
      <c r="B456" s="2">
        <v>45902.5</v>
      </c>
      <c r="C456" t="s">
        <v>37</v>
      </c>
      <c r="D456" t="s">
        <f>'客户档案'!B3</f>
        <v>38</v>
      </c>
      <c r="E456" t="s">
        <v>64</v>
      </c>
      <c r="F456" t="s">
        <v>65</v>
      </c>
      <c r="G456" t="s">
        <f>'商品目录'!B5</f>
        <v>66</v>
      </c>
      <c r="H456" t="s">
        <v>67</v>
      </c>
      <c r="I456">
        <v>2</v>
      </c>
      <c r="J456" s="4">
        <v>45</v>
      </c>
      <c r="K456" s="4">
        <f>I456*J456</f>
        <v>90</v>
      </c>
      <c r="L456" s="3">
        <v>0</v>
      </c>
      <c r="M456" s="4">
        <f>K456*L456</f>
        <v>0</v>
      </c>
      <c r="N456" s="4">
        <v>0</v>
      </c>
      <c r="O456" s="4">
        <f>K456-M456+N456</f>
        <v>90</v>
      </c>
      <c r="P456" t="s">
        <v>43</v>
      </c>
      <c r="Q456" t="b">
        <v>1</v>
      </c>
      <c r="R456" t="s">
        <v>55</v>
      </c>
      <c r="S456" t="s">
        <v>45</v>
      </c>
      <c r="T456" t="s">
        <v>46</v>
      </c>
      <c r="U456" t="s">
        <v>70</v>
      </c>
      <c r="V456" t="s">
        <v>38</v>
      </c>
      <c r="W456" t="s">
        <v>974</v>
      </c>
      <c r="X456" t="s">
        <v>72</v>
      </c>
      <c r="Y456">
        <v>9007199254741443</v>
      </c>
      <c r="Z456">
        <v>0</v>
      </c>
      <c r="AA456" t="s">
        <v>38</v>
      </c>
      <c r="AB456" t="b">
        <v>0</v>
      </c>
      <c r="AD456" s="3">
        <v>0.125</v>
      </c>
      <c r="AE456" s="2">
        <v>45904.5</v>
      </c>
      <c r="AF456" t="s">
        <v>60</v>
      </c>
    </row>
    <row r="457">
      <c r="A457" t="s">
        <v>975</v>
      </c>
      <c r="B457" s="2">
        <v>45903.5</v>
      </c>
      <c r="C457" t="s">
        <v>49</v>
      </c>
      <c r="D457" t="s">
        <f>'客户档案'!B4</f>
        <v>50</v>
      </c>
      <c r="E457" t="s">
        <v>74</v>
      </c>
      <c r="F457" t="s">
        <v>75</v>
      </c>
      <c r="G457" t="s">
        <f>'商品目录'!B6</f>
        <v>76</v>
      </c>
      <c r="H457" t="s">
        <v>77</v>
      </c>
      <c r="I457">
        <v>4</v>
      </c>
      <c r="J457" s="4">
        <v>8</v>
      </c>
      <c r="K457" s="4">
        <f>I457*J457</f>
        <v>32</v>
      </c>
      <c r="L457" s="3">
        <v>0.5</v>
      </c>
      <c r="M457" s="4">
        <f>K457*L457</f>
        <v>16</v>
      </c>
      <c r="N457" s="4">
        <v>10</v>
      </c>
      <c r="O457" s="4">
        <f>K457-M457+N457</f>
        <v>26</v>
      </c>
      <c r="P457" t="s">
        <v>43</v>
      </c>
      <c r="Q457" t="b">
        <v>1</v>
      </c>
      <c r="R457" t="s">
        <v>55</v>
      </c>
      <c r="S457" t="s">
        <v>56</v>
      </c>
      <c r="T457" t="s">
        <v>57</v>
      </c>
      <c r="U457" t="s">
        <v>78</v>
      </c>
      <c r="V457" t="s">
        <v>50</v>
      </c>
      <c r="W457" t="s">
        <v>976</v>
      </c>
      <c r="X457" t="s">
        <v>80</v>
      </c>
      <c r="Y457">
        <v>9007199254741444</v>
      </c>
      <c r="Z457">
        <v>0</v>
      </c>
      <c r="AA457" t="s">
        <v>50</v>
      </c>
      <c r="AB457" t="b">
        <v>1</v>
      </c>
      <c r="AD457" s="3">
        <v>0.125</v>
      </c>
      <c r="AE457" s="2">
        <v>45905.5</v>
      </c>
      <c r="AF457" t="s">
        <v>60</v>
      </c>
    </row>
    <row r="458">
      <c r="A458" t="s">
        <v>977</v>
      </c>
      <c r="B458" s="2">
        <v>45904.5</v>
      </c>
      <c r="C458" t="s">
        <v>62</v>
      </c>
      <c r="D458" t="s">
        <f>'客户档案'!B5</f>
        <v>63</v>
      </c>
      <c r="E458" t="s">
        <v>39</v>
      </c>
      <c r="F458" t="s">
        <v>40</v>
      </c>
      <c r="G458" t="s">
        <f>'商品目录'!B3</f>
        <v>41</v>
      </c>
      <c r="H458" t="s">
        <v>42</v>
      </c>
      <c r="I458">
        <v>6</v>
      </c>
      <c r="J458" s="4">
        <v>99</v>
      </c>
      <c r="K458" s="4">
        <f>I458*J458</f>
        <v>594</v>
      </c>
      <c r="L458" s="3">
        <v>0</v>
      </c>
      <c r="M458" s="4">
        <f>K458*L458</f>
        <v>0</v>
      </c>
      <c r="N458" s="4">
        <v>20</v>
      </c>
      <c r="O458" s="4">
        <f>K458-M458+N458</f>
        <v>614</v>
      </c>
      <c r="P458" t="s">
        <v>43</v>
      </c>
      <c r="Q458" t="b">
        <v>0</v>
      </c>
      <c r="R458" t="s">
        <v>44</v>
      </c>
      <c r="S458" t="s">
        <v>68</v>
      </c>
      <c r="T458" t="s">
        <v>69</v>
      </c>
      <c r="U458" t="s">
        <v>39</v>
      </c>
      <c r="V458" t="s">
        <v>63</v>
      </c>
      <c r="W458" t="s">
        <v>978</v>
      </c>
      <c r="X458" t="s">
        <v>0</v>
      </c>
      <c r="Y458">
        <v>9007199254741445</v>
      </c>
      <c r="Z458">
        <v>0</v>
      </c>
      <c r="AA458" t="s">
        <v>63</v>
      </c>
      <c r="AB458" t="b">
        <v>0</v>
      </c>
      <c r="AD458" s="3">
        <v>0.125</v>
      </c>
      <c r="AE458" s="2">
        <v>45906.5</v>
      </c>
      <c r="AF458" t="s">
        <v>60</v>
      </c>
    </row>
    <row r="459">
      <c r="A459" t="s">
        <v>979</v>
      </c>
      <c r="B459" s="2">
        <v>45905.5</v>
      </c>
      <c r="C459" t="s">
        <v>37</v>
      </c>
      <c r="D459" t="s">
        <f>'客户档案'!B3</f>
        <v>38</v>
      </c>
      <c r="E459" t="s">
        <v>51</v>
      </c>
      <c r="F459" t="s">
        <v>52</v>
      </c>
      <c r="G459" t="s">
        <f>'商品目录'!B4</f>
        <v>53</v>
      </c>
      <c r="H459" t="s">
        <v>54</v>
      </c>
      <c r="I459">
        <v>8</v>
      </c>
      <c r="J459" s="4">
        <v>129</v>
      </c>
      <c r="K459" s="4">
        <f>I459*J459</f>
        <v>1032</v>
      </c>
      <c r="L459" s="3">
        <v>0.5</v>
      </c>
      <c r="M459" s="4">
        <f>K459*L459</f>
        <v>516</v>
      </c>
      <c r="N459" s="4">
        <v>0</v>
      </c>
      <c r="O459" s="4">
        <f>K459-M459+N459</f>
        <v>516</v>
      </c>
      <c r="P459" t="s">
        <v>43</v>
      </c>
      <c r="Q459" t="b">
        <v>1</v>
      </c>
      <c r="R459" t="s">
        <v>55</v>
      </c>
      <c r="S459" t="s">
        <v>45</v>
      </c>
      <c r="T459" t="s">
        <v>46</v>
      </c>
      <c r="U459" t="s">
        <v>51</v>
      </c>
      <c r="V459" t="s">
        <v>38</v>
      </c>
      <c r="W459" t="s">
        <v>980</v>
      </c>
      <c r="X459" t="s">
        <v>59</v>
      </c>
      <c r="Y459">
        <v>9007199254741446</v>
      </c>
      <c r="Z459">
        <v>0</v>
      </c>
      <c r="AA459" t="s">
        <v>38</v>
      </c>
      <c r="AB459" t="b">
        <v>1</v>
      </c>
      <c r="AD459" s="3">
        <v>0.125</v>
      </c>
      <c r="AE459" s="2">
        <v>45907.5</v>
      </c>
      <c r="AF459" t="s">
        <v>60</v>
      </c>
    </row>
    <row r="460">
      <c r="A460" t="s">
        <v>981</v>
      </c>
      <c r="B460" s="2">
        <v>45906.5</v>
      </c>
      <c r="C460" t="s">
        <v>49</v>
      </c>
      <c r="D460" t="s">
        <f>'客户档案'!B4</f>
        <v>50</v>
      </c>
      <c r="E460" t="s">
        <v>64</v>
      </c>
      <c r="F460" t="s">
        <v>65</v>
      </c>
      <c r="G460" t="s">
        <f>'商品目录'!B5</f>
        <v>66</v>
      </c>
      <c r="H460" t="s">
        <v>67</v>
      </c>
      <c r="I460">
        <v>10</v>
      </c>
      <c r="J460" s="4">
        <v>45</v>
      </c>
      <c r="K460" s="4">
        <f>I460*J460</f>
        <v>450</v>
      </c>
      <c r="L460" s="3">
        <v>0</v>
      </c>
      <c r="M460" s="4">
        <f>K460*L460</f>
        <v>0</v>
      </c>
      <c r="N460" s="4">
        <v>10</v>
      </c>
      <c r="O460" s="4">
        <f>K460-M460+N460</f>
        <v>460</v>
      </c>
      <c r="P460" t="s">
        <v>43</v>
      </c>
      <c r="Q460" t="b">
        <v>1</v>
      </c>
      <c r="R460" t="s">
        <v>55</v>
      </c>
      <c r="S460" t="s">
        <v>56</v>
      </c>
      <c r="T460" t="s">
        <v>57</v>
      </c>
      <c r="U460" t="s">
        <v>70</v>
      </c>
      <c r="V460" t="s">
        <v>50</v>
      </c>
      <c r="W460" t="s">
        <v>982</v>
      </c>
      <c r="X460" t="s">
        <v>72</v>
      </c>
      <c r="Y460">
        <v>9007199254741447</v>
      </c>
      <c r="Z460">
        <v>0</v>
      </c>
      <c r="AA460" t="s">
        <v>50</v>
      </c>
      <c r="AB460" t="b">
        <v>0</v>
      </c>
      <c r="AD460" s="3">
        <v>0.125</v>
      </c>
      <c r="AE460" s="2">
        <v>45908.5</v>
      </c>
      <c r="AF460" t="s">
        <v>60</v>
      </c>
    </row>
    <row r="461">
      <c r="A461" t="s">
        <v>983</v>
      </c>
      <c r="B461" s="2">
        <v>45907.5</v>
      </c>
      <c r="C461" t="s">
        <v>62</v>
      </c>
      <c r="D461" t="s">
        <f>'客户档案'!B5</f>
        <v>63</v>
      </c>
      <c r="E461" t="s">
        <v>74</v>
      </c>
      <c r="F461" t="s">
        <v>75</v>
      </c>
      <c r="G461" t="s">
        <f>'商品目录'!B6</f>
        <v>76</v>
      </c>
      <c r="H461" t="s">
        <v>77</v>
      </c>
      <c r="I461">
        <v>2</v>
      </c>
      <c r="J461" s="4">
        <v>8</v>
      </c>
      <c r="K461" s="4">
        <f>I461*J461</f>
        <v>16</v>
      </c>
      <c r="L461" s="3">
        <v>0.5</v>
      </c>
      <c r="M461" s="4">
        <f>K461*L461</f>
        <v>8</v>
      </c>
      <c r="N461" s="4">
        <v>20</v>
      </c>
      <c r="O461" s="4">
        <f>K461-M461+N461</f>
        <v>28</v>
      </c>
      <c r="P461" t="s">
        <v>43</v>
      </c>
      <c r="Q461" t="b">
        <v>1</v>
      </c>
      <c r="R461" t="s">
        <v>55</v>
      </c>
      <c r="S461" t="s">
        <v>68</v>
      </c>
      <c r="T461" t="s">
        <v>69</v>
      </c>
      <c r="U461" t="s">
        <v>78</v>
      </c>
      <c r="V461" t="s">
        <v>63</v>
      </c>
      <c r="W461" t="s">
        <v>984</v>
      </c>
      <c r="X461" t="s">
        <v>80</v>
      </c>
      <c r="Y461">
        <v>9007199254741448</v>
      </c>
      <c r="Z461">
        <v>0</v>
      </c>
      <c r="AA461" t="s">
        <v>63</v>
      </c>
      <c r="AB461" t="b">
        <v>1</v>
      </c>
      <c r="AD461" s="3">
        <v>0.125</v>
      </c>
      <c r="AE461" s="2">
        <v>45909.5</v>
      </c>
      <c r="AF461" t="s">
        <v>60</v>
      </c>
    </row>
    <row r="462">
      <c r="A462" t="s">
        <v>985</v>
      </c>
      <c r="B462" s="2">
        <v>45908.5</v>
      </c>
      <c r="C462" t="s">
        <v>37</v>
      </c>
      <c r="D462" t="s">
        <f>'客户档案'!B3</f>
        <v>38</v>
      </c>
      <c r="E462" t="s">
        <v>39</v>
      </c>
      <c r="F462" t="s">
        <v>40</v>
      </c>
      <c r="G462" t="s">
        <f>'商品目录'!B3</f>
        <v>41</v>
      </c>
      <c r="H462" t="s">
        <v>42</v>
      </c>
      <c r="I462">
        <v>4</v>
      </c>
      <c r="J462" s="4">
        <v>99</v>
      </c>
      <c r="K462" s="4">
        <f>I462*J462</f>
        <v>396</v>
      </c>
      <c r="L462" s="3">
        <v>0</v>
      </c>
      <c r="M462" s="4">
        <f>K462*L462</f>
        <v>0</v>
      </c>
      <c r="N462" s="4">
        <v>0</v>
      </c>
      <c r="O462" s="4">
        <f>K462-M462+N462</f>
        <v>396</v>
      </c>
      <c r="P462" t="s">
        <v>43</v>
      </c>
      <c r="Q462" t="b">
        <v>0</v>
      </c>
      <c r="R462" t="s">
        <v>44</v>
      </c>
      <c r="S462" t="s">
        <v>45</v>
      </c>
      <c r="T462" t="s">
        <v>46</v>
      </c>
      <c r="U462" t="s">
        <v>39</v>
      </c>
      <c r="V462" t="s">
        <v>38</v>
      </c>
      <c r="W462" t="s">
        <v>986</v>
      </c>
      <c r="X462" t="s">
        <v>0</v>
      </c>
      <c r="Y462">
        <v>9007199254741449</v>
      </c>
      <c r="Z462">
        <v>0</v>
      </c>
      <c r="AA462" t="s">
        <v>38</v>
      </c>
      <c r="AB462" t="b">
        <v>0</v>
      </c>
      <c r="AD462" s="3">
        <v>0.125</v>
      </c>
      <c r="AE462" s="2">
        <v>45910.5</v>
      </c>
      <c r="AF462" t="s">
        <v>60</v>
      </c>
    </row>
    <row r="463">
      <c r="A463" t="s">
        <v>987</v>
      </c>
      <c r="B463" s="2">
        <v>45909.5</v>
      </c>
      <c r="C463" t="s">
        <v>49</v>
      </c>
      <c r="D463" t="s">
        <f>'客户档案'!B4</f>
        <v>50</v>
      </c>
      <c r="E463" t="s">
        <v>51</v>
      </c>
      <c r="F463" t="s">
        <v>52</v>
      </c>
      <c r="G463" t="s">
        <f>'商品目录'!B4</f>
        <v>53</v>
      </c>
      <c r="H463" t="s">
        <v>54</v>
      </c>
      <c r="I463">
        <v>6</v>
      </c>
      <c r="J463" s="4">
        <v>129</v>
      </c>
      <c r="K463" s="4">
        <f>I463*J463</f>
        <v>774</v>
      </c>
      <c r="L463" s="3">
        <v>0.5</v>
      </c>
      <c r="M463" s="4">
        <f>K463*L463</f>
        <v>387</v>
      </c>
      <c r="N463" s="4">
        <v>10</v>
      </c>
      <c r="O463" s="4">
        <f>K463-M463+N463</f>
        <v>397</v>
      </c>
      <c r="P463" t="s">
        <v>43</v>
      </c>
      <c r="Q463" t="b">
        <v>1</v>
      </c>
      <c r="R463" t="s">
        <v>55</v>
      </c>
      <c r="S463" t="s">
        <v>56</v>
      </c>
      <c r="T463" t="s">
        <v>57</v>
      </c>
      <c r="U463" t="s">
        <v>51</v>
      </c>
      <c r="V463" t="s">
        <v>50</v>
      </c>
      <c r="W463" t="s">
        <v>988</v>
      </c>
      <c r="X463" t="s">
        <v>59</v>
      </c>
      <c r="Y463">
        <v>9007199254741450</v>
      </c>
      <c r="Z463">
        <v>0</v>
      </c>
      <c r="AA463" t="s">
        <v>50</v>
      </c>
      <c r="AB463" t="b">
        <v>1</v>
      </c>
      <c r="AD463" s="3">
        <v>0.125</v>
      </c>
      <c r="AE463" s="2">
        <v>45911.5</v>
      </c>
      <c r="AF463" t="s">
        <v>60</v>
      </c>
    </row>
    <row r="464">
      <c r="A464" t="s">
        <v>989</v>
      </c>
      <c r="B464" s="2">
        <v>45910.5</v>
      </c>
      <c r="C464" t="s">
        <v>62</v>
      </c>
      <c r="D464" t="s">
        <f>'客户档案'!B5</f>
        <v>63</v>
      </c>
      <c r="E464" t="s">
        <v>64</v>
      </c>
      <c r="F464" t="s">
        <v>65</v>
      </c>
      <c r="G464" t="s">
        <f>'商品目录'!B5</f>
        <v>66</v>
      </c>
      <c r="H464" t="s">
        <v>67</v>
      </c>
      <c r="I464">
        <v>8</v>
      </c>
      <c r="J464" s="4">
        <v>45</v>
      </c>
      <c r="K464" s="4">
        <f>I464*J464</f>
        <v>360</v>
      </c>
      <c r="L464" s="3">
        <v>0</v>
      </c>
      <c r="M464" s="4">
        <f>K464*L464</f>
        <v>0</v>
      </c>
      <c r="N464" s="4">
        <v>20</v>
      </c>
      <c r="O464" s="4">
        <f>K464-M464+N464</f>
        <v>380</v>
      </c>
      <c r="P464" t="s">
        <v>43</v>
      </c>
      <c r="Q464" t="b">
        <v>1</v>
      </c>
      <c r="R464" t="s">
        <v>55</v>
      </c>
      <c r="S464" t="s">
        <v>68</v>
      </c>
      <c r="T464" t="s">
        <v>69</v>
      </c>
      <c r="U464" t="s">
        <v>70</v>
      </c>
      <c r="V464" t="s">
        <v>63</v>
      </c>
      <c r="W464" t="s">
        <v>990</v>
      </c>
      <c r="X464" t="s">
        <v>72</v>
      </c>
      <c r="Y464">
        <v>9007199254741451</v>
      </c>
      <c r="Z464">
        <v>0</v>
      </c>
      <c r="AA464" t="s">
        <v>63</v>
      </c>
      <c r="AB464" t="b">
        <v>0</v>
      </c>
      <c r="AD464" s="3">
        <v>0.125</v>
      </c>
      <c r="AE464" s="2">
        <v>45912.5</v>
      </c>
      <c r="AF464" t="s">
        <v>60</v>
      </c>
    </row>
    <row r="465">
      <c r="A465" t="s">
        <v>991</v>
      </c>
      <c r="B465" s="2">
        <v>45911.5</v>
      </c>
      <c r="C465" t="s">
        <v>37</v>
      </c>
      <c r="D465" t="s">
        <f>'客户档案'!B3</f>
        <v>38</v>
      </c>
      <c r="E465" t="s">
        <v>74</v>
      </c>
      <c r="F465" t="s">
        <v>75</v>
      </c>
      <c r="G465" t="s">
        <f>'商品目录'!B6</f>
        <v>76</v>
      </c>
      <c r="H465" t="s">
        <v>77</v>
      </c>
      <c r="I465">
        <v>10</v>
      </c>
      <c r="J465" s="4">
        <v>8</v>
      </c>
      <c r="K465" s="4">
        <f>I465*J465</f>
        <v>80</v>
      </c>
      <c r="L465" s="3">
        <v>0.5</v>
      </c>
      <c r="M465" s="4">
        <f>K465*L465</f>
        <v>40</v>
      </c>
      <c r="N465" s="4">
        <v>0</v>
      </c>
      <c r="O465" s="4">
        <f>K465-M465+N465</f>
        <v>40</v>
      </c>
      <c r="P465" t="s">
        <v>43</v>
      </c>
      <c r="Q465" t="b">
        <v>1</v>
      </c>
      <c r="R465" t="s">
        <v>55</v>
      </c>
      <c r="S465" t="s">
        <v>45</v>
      </c>
      <c r="T465" t="s">
        <v>46</v>
      </c>
      <c r="U465" t="s">
        <v>78</v>
      </c>
      <c r="V465" t="s">
        <v>38</v>
      </c>
      <c r="W465" t="s">
        <v>992</v>
      </c>
      <c r="X465" t="s">
        <v>80</v>
      </c>
      <c r="Y465">
        <v>9007199254741452</v>
      </c>
      <c r="Z465">
        <v>2</v>
      </c>
      <c r="AA465" t="s">
        <v>38</v>
      </c>
      <c r="AB465" t="b">
        <v>1</v>
      </c>
      <c r="AD465" s="3">
        <v>0.125</v>
      </c>
      <c r="AE465" s="2">
        <v>45913.5</v>
      </c>
      <c r="AF465" t="s">
        <v>60</v>
      </c>
    </row>
    <row r="466">
      <c r="A466" t="s">
        <v>993</v>
      </c>
      <c r="B466" s="2">
        <v>45912.5</v>
      </c>
      <c r="C466" t="s">
        <v>49</v>
      </c>
      <c r="D466" t="s">
        <f>'客户档案'!B4</f>
        <v>50</v>
      </c>
      <c r="E466" t="s">
        <v>39</v>
      </c>
      <c r="F466" t="s">
        <v>40</v>
      </c>
      <c r="G466" t="s">
        <f>'商品目录'!B3</f>
        <v>41</v>
      </c>
      <c r="H466" t="s">
        <v>42</v>
      </c>
      <c r="I466">
        <v>2</v>
      </c>
      <c r="J466" s="4">
        <v>99</v>
      </c>
      <c r="K466" s="4">
        <f>I466*J466</f>
        <v>198</v>
      </c>
      <c r="L466" s="3">
        <v>0</v>
      </c>
      <c r="M466" s="4">
        <f>K466*L466</f>
        <v>0</v>
      </c>
      <c r="N466" s="4">
        <v>10</v>
      </c>
      <c r="O466" s="4">
        <f>K466-M466+N466</f>
        <v>208</v>
      </c>
      <c r="P466" t="s">
        <v>43</v>
      </c>
      <c r="Q466" t="b">
        <v>0</v>
      </c>
      <c r="R466" t="s">
        <v>44</v>
      </c>
      <c r="S466" t="s">
        <v>56</v>
      </c>
      <c r="T466" t="s">
        <v>57</v>
      </c>
      <c r="U466" t="s">
        <v>39</v>
      </c>
      <c r="V466" t="s">
        <v>50</v>
      </c>
      <c r="W466" t="s">
        <v>994</v>
      </c>
      <c r="X466" t="s">
        <v>0</v>
      </c>
      <c r="Y466">
        <v>9007199254741453</v>
      </c>
      <c r="Z466">
        <v>0</v>
      </c>
      <c r="AA466" t="s">
        <v>50</v>
      </c>
      <c r="AB466" t="b">
        <v>0</v>
      </c>
      <c r="AD466" s="3">
        <v>0.125</v>
      </c>
      <c r="AE466" s="2">
        <v>45914.5</v>
      </c>
      <c r="AF466" t="s">
        <v>60</v>
      </c>
    </row>
    <row r="467">
      <c r="A467" t="s">
        <v>995</v>
      </c>
      <c r="B467" s="2">
        <v>45913.5</v>
      </c>
      <c r="C467" t="s">
        <v>62</v>
      </c>
      <c r="D467" t="s">
        <f>'客户档案'!B5</f>
        <v>63</v>
      </c>
      <c r="E467" t="s">
        <v>51</v>
      </c>
      <c r="F467" t="s">
        <v>52</v>
      </c>
      <c r="G467" t="s">
        <f>'商品目录'!B4</f>
        <v>53</v>
      </c>
      <c r="H467" t="s">
        <v>54</v>
      </c>
      <c r="I467">
        <v>4</v>
      </c>
      <c r="J467" s="4">
        <v>129</v>
      </c>
      <c r="K467" s="4">
        <f>I467*J467</f>
        <v>516</v>
      </c>
      <c r="L467" s="3">
        <v>0.5</v>
      </c>
      <c r="M467" s="4">
        <f>K467*L467</f>
        <v>258</v>
      </c>
      <c r="N467" s="4">
        <v>20</v>
      </c>
      <c r="O467" s="4">
        <f>K467-M467+N467</f>
        <v>278</v>
      </c>
      <c r="P467" t="s">
        <v>43</v>
      </c>
      <c r="Q467" t="b">
        <v>1</v>
      </c>
      <c r="R467" t="s">
        <v>55</v>
      </c>
      <c r="S467" t="s">
        <v>68</v>
      </c>
      <c r="T467" t="s">
        <v>69</v>
      </c>
      <c r="U467" t="s">
        <v>51</v>
      </c>
      <c r="V467" t="s">
        <v>63</v>
      </c>
      <c r="W467" t="s">
        <v>996</v>
      </c>
      <c r="X467" t="s">
        <v>59</v>
      </c>
      <c r="Y467">
        <v>9007199254741454</v>
      </c>
      <c r="Z467">
        <v>0</v>
      </c>
      <c r="AA467" t="s">
        <v>63</v>
      </c>
      <c r="AB467" t="b">
        <v>1</v>
      </c>
      <c r="AD467" s="3">
        <v>0.125</v>
      </c>
      <c r="AE467" s="2">
        <v>45915.5</v>
      </c>
      <c r="AF467" t="s">
        <v>60</v>
      </c>
    </row>
    <row r="468">
      <c r="A468" t="s">
        <v>997</v>
      </c>
      <c r="B468" s="2">
        <v>45914.5</v>
      </c>
      <c r="C468" t="s">
        <v>37</v>
      </c>
      <c r="D468" t="s">
        <f>'客户档案'!B3</f>
        <v>38</v>
      </c>
      <c r="E468" t="s">
        <v>64</v>
      </c>
      <c r="F468" t="s">
        <v>65</v>
      </c>
      <c r="G468" t="s">
        <f>'商品目录'!B5</f>
        <v>66</v>
      </c>
      <c r="H468" t="s">
        <v>67</v>
      </c>
      <c r="I468">
        <v>6</v>
      </c>
      <c r="J468" s="4">
        <v>45</v>
      </c>
      <c r="K468" s="4">
        <f>I468*J468</f>
        <v>270</v>
      </c>
      <c r="L468" s="3">
        <v>0</v>
      </c>
      <c r="M468" s="4">
        <f>K468*L468</f>
        <v>0</v>
      </c>
      <c r="N468" s="4">
        <v>0</v>
      </c>
      <c r="O468" s="4">
        <f>K468-M468+N468</f>
        <v>270</v>
      </c>
      <c r="P468" t="s">
        <v>43</v>
      </c>
      <c r="Q468" t="b">
        <v>1</v>
      </c>
      <c r="R468" t="s">
        <v>55</v>
      </c>
      <c r="S468" t="s">
        <v>45</v>
      </c>
      <c r="T468" t="s">
        <v>46</v>
      </c>
      <c r="U468" t="s">
        <v>70</v>
      </c>
      <c r="V468" t="s">
        <v>38</v>
      </c>
      <c r="W468" t="s">
        <v>998</v>
      </c>
      <c r="X468" t="s">
        <v>72</v>
      </c>
      <c r="Y468">
        <v>9007199254741455</v>
      </c>
      <c r="Z468">
        <v>0</v>
      </c>
      <c r="AA468" t="s">
        <v>38</v>
      </c>
      <c r="AB468" t="b">
        <v>0</v>
      </c>
      <c r="AD468" s="3">
        <v>0.125</v>
      </c>
      <c r="AE468" s="2">
        <v>45916.5</v>
      </c>
      <c r="AF468" t="s">
        <v>60</v>
      </c>
    </row>
    <row r="469">
      <c r="A469" t="s">
        <v>999</v>
      </c>
      <c r="B469" s="2">
        <v>45915.5</v>
      </c>
      <c r="C469" t="s">
        <v>49</v>
      </c>
      <c r="D469" t="s">
        <f>'客户档案'!B4</f>
        <v>50</v>
      </c>
      <c r="E469" t="s">
        <v>74</v>
      </c>
      <c r="F469" t="s">
        <v>75</v>
      </c>
      <c r="G469" t="s">
        <f>'商品目录'!B6</f>
        <v>76</v>
      </c>
      <c r="H469" t="s">
        <v>77</v>
      </c>
      <c r="I469">
        <v>8</v>
      </c>
      <c r="J469" s="4">
        <v>8</v>
      </c>
      <c r="K469" s="4">
        <f>I469*J469</f>
        <v>64</v>
      </c>
      <c r="L469" s="3">
        <v>0.5</v>
      </c>
      <c r="M469" s="4">
        <f>K469*L469</f>
        <v>32</v>
      </c>
      <c r="N469" s="4">
        <v>10</v>
      </c>
      <c r="O469" s="4">
        <f>K469-M469+N469</f>
        <v>42</v>
      </c>
      <c r="P469" t="s">
        <v>43</v>
      </c>
      <c r="Q469" t="b">
        <v>1</v>
      </c>
      <c r="R469" t="s">
        <v>55</v>
      </c>
      <c r="S469" t="s">
        <v>56</v>
      </c>
      <c r="T469" t="s">
        <v>57</v>
      </c>
      <c r="U469" t="s">
        <v>78</v>
      </c>
      <c r="V469" t="s">
        <v>50</v>
      </c>
      <c r="W469" t="s">
        <v>1000</v>
      </c>
      <c r="X469" t="s">
        <v>80</v>
      </c>
      <c r="Y469">
        <v>9007199254741456</v>
      </c>
      <c r="Z469">
        <v>0</v>
      </c>
      <c r="AA469" t="s">
        <v>50</v>
      </c>
      <c r="AB469" t="b">
        <v>1</v>
      </c>
      <c r="AD469" s="3">
        <v>0.125</v>
      </c>
      <c r="AE469" s="2">
        <v>45917.5</v>
      </c>
      <c r="AF469" t="s">
        <v>60</v>
      </c>
    </row>
    <row r="470">
      <c r="A470" t="s">
        <v>1001</v>
      </c>
      <c r="B470" s="2">
        <v>45916.5</v>
      </c>
      <c r="C470" t="s">
        <v>62</v>
      </c>
      <c r="D470" t="s">
        <f>'客户档案'!B5</f>
        <v>63</v>
      </c>
      <c r="E470" t="s">
        <v>39</v>
      </c>
      <c r="F470" t="s">
        <v>40</v>
      </c>
      <c r="G470" t="s">
        <f>'商品目录'!B3</f>
        <v>41</v>
      </c>
      <c r="H470" t="s">
        <v>42</v>
      </c>
      <c r="I470">
        <v>10</v>
      </c>
      <c r="J470" s="4">
        <v>99</v>
      </c>
      <c r="K470" s="4">
        <f>I470*J470</f>
        <v>990</v>
      </c>
      <c r="L470" s="3">
        <v>0</v>
      </c>
      <c r="M470" s="4">
        <f>K470*L470</f>
        <v>0</v>
      </c>
      <c r="N470" s="4">
        <v>20</v>
      </c>
      <c r="O470" s="4">
        <f>K470-M470+N470</f>
        <v>1010</v>
      </c>
      <c r="P470" t="s">
        <v>43</v>
      </c>
      <c r="Q470" t="b">
        <v>0</v>
      </c>
      <c r="R470" t="s">
        <v>44</v>
      </c>
      <c r="S470" t="s">
        <v>68</v>
      </c>
      <c r="T470" t="s">
        <v>69</v>
      </c>
      <c r="U470" t="s">
        <v>39</v>
      </c>
      <c r="V470" t="s">
        <v>63</v>
      </c>
      <c r="W470" t="s">
        <v>1002</v>
      </c>
      <c r="X470" t="s">
        <v>0</v>
      </c>
      <c r="Y470">
        <v>9007199254741457</v>
      </c>
      <c r="Z470">
        <v>0</v>
      </c>
      <c r="AA470" t="s">
        <v>63</v>
      </c>
      <c r="AB470" t="b">
        <v>0</v>
      </c>
      <c r="AD470" s="3">
        <v>0.125</v>
      </c>
      <c r="AE470" s="2">
        <v>45918.5</v>
      </c>
      <c r="AF470" t="s">
        <v>60</v>
      </c>
    </row>
    <row r="471">
      <c r="A471" t="s">
        <v>1003</v>
      </c>
      <c r="B471" s="2">
        <v>45917.5</v>
      </c>
      <c r="C471" t="s">
        <v>37</v>
      </c>
      <c r="D471" t="s">
        <f>'客户档案'!B3</f>
        <v>38</v>
      </c>
      <c r="E471" t="s">
        <v>51</v>
      </c>
      <c r="F471" t="s">
        <v>52</v>
      </c>
      <c r="G471" t="s">
        <f>'商品目录'!B4</f>
        <v>53</v>
      </c>
      <c r="H471" t="s">
        <v>54</v>
      </c>
      <c r="I471">
        <v>2</v>
      </c>
      <c r="J471" s="4">
        <v>129</v>
      </c>
      <c r="K471" s="4">
        <f>I471*J471</f>
        <v>258</v>
      </c>
      <c r="L471" s="3">
        <v>0.5</v>
      </c>
      <c r="M471" s="4">
        <f>K471*L471</f>
        <v>129</v>
      </c>
      <c r="N471" s="4">
        <v>0</v>
      </c>
      <c r="O471" s="4">
        <f>K471-M471+N471</f>
        <v>129</v>
      </c>
      <c r="P471" t="s">
        <v>43</v>
      </c>
      <c r="Q471" t="b">
        <v>1</v>
      </c>
      <c r="R471" t="s">
        <v>55</v>
      </c>
      <c r="S471" t="s">
        <v>45</v>
      </c>
      <c r="T471" t="s">
        <v>46</v>
      </c>
      <c r="U471" t="s">
        <v>51</v>
      </c>
      <c r="V471" t="s">
        <v>38</v>
      </c>
      <c r="W471" t="s">
        <v>1004</v>
      </c>
      <c r="X471" t="s">
        <v>59</v>
      </c>
      <c r="Y471">
        <v>9007199254741458</v>
      </c>
      <c r="Z471">
        <v>0</v>
      </c>
      <c r="AA471" t="s">
        <v>38</v>
      </c>
      <c r="AB471" t="b">
        <v>1</v>
      </c>
      <c r="AD471" s="3">
        <v>0.125</v>
      </c>
      <c r="AE471" s="2">
        <v>45919.5</v>
      </c>
      <c r="AF471" t="s">
        <v>60</v>
      </c>
    </row>
    <row r="472">
      <c r="A472" t="s">
        <v>1005</v>
      </c>
      <c r="B472" s="2">
        <v>45918.5</v>
      </c>
      <c r="C472" t="s">
        <v>49</v>
      </c>
      <c r="D472" t="s">
        <f>'客户档案'!B4</f>
        <v>50</v>
      </c>
      <c r="E472" t="s">
        <v>64</v>
      </c>
      <c r="F472" t="s">
        <v>65</v>
      </c>
      <c r="G472" t="s">
        <f>'商品目录'!B5</f>
        <v>66</v>
      </c>
      <c r="H472" t="s">
        <v>67</v>
      </c>
      <c r="I472">
        <v>4</v>
      </c>
      <c r="J472" s="4">
        <v>45</v>
      </c>
      <c r="K472" s="4">
        <f>I472*J472</f>
        <v>180</v>
      </c>
      <c r="L472" s="3">
        <v>0</v>
      </c>
      <c r="M472" s="4">
        <f>K472*L472</f>
        <v>0</v>
      </c>
      <c r="N472" s="4">
        <v>10</v>
      </c>
      <c r="O472" s="4">
        <f>K472-M472+N472</f>
        <v>190</v>
      </c>
      <c r="P472" t="s">
        <v>43</v>
      </c>
      <c r="Q472" t="b">
        <v>1</v>
      </c>
      <c r="R472" t="s">
        <v>55</v>
      </c>
      <c r="S472" t="s">
        <v>56</v>
      </c>
      <c r="T472" t="s">
        <v>57</v>
      </c>
      <c r="U472" t="s">
        <v>70</v>
      </c>
      <c r="V472" t="s">
        <v>50</v>
      </c>
      <c r="W472" t="s">
        <v>1006</v>
      </c>
      <c r="X472" t="s">
        <v>72</v>
      </c>
      <c r="Y472">
        <v>9007199254741459</v>
      </c>
      <c r="Z472">
        <v>0</v>
      </c>
      <c r="AA472" t="s">
        <v>50</v>
      </c>
      <c r="AB472" t="b">
        <v>0</v>
      </c>
      <c r="AD472" s="3">
        <v>0.125</v>
      </c>
      <c r="AE472" s="2">
        <v>45920.5</v>
      </c>
      <c r="AF472" t="s">
        <v>60</v>
      </c>
    </row>
    <row r="473">
      <c r="A473" t="s">
        <v>1007</v>
      </c>
      <c r="B473" s="2">
        <v>45919.5</v>
      </c>
      <c r="C473" t="s">
        <v>62</v>
      </c>
      <c r="D473" t="s">
        <f>'客户档案'!B5</f>
        <v>63</v>
      </c>
      <c r="E473" t="s">
        <v>74</v>
      </c>
      <c r="F473" t="s">
        <v>75</v>
      </c>
      <c r="G473" t="s">
        <f>'商品目录'!B6</f>
        <v>76</v>
      </c>
      <c r="H473" t="s">
        <v>77</v>
      </c>
      <c r="I473">
        <v>6</v>
      </c>
      <c r="J473" s="4">
        <v>8</v>
      </c>
      <c r="K473" s="4">
        <f>I473*J473</f>
        <v>48</v>
      </c>
      <c r="L473" s="3">
        <v>0.5</v>
      </c>
      <c r="M473" s="4">
        <f>K473*L473</f>
        <v>24</v>
      </c>
      <c r="N473" s="4">
        <v>20</v>
      </c>
      <c r="O473" s="4">
        <f>K473-M473+N473</f>
        <v>44</v>
      </c>
      <c r="P473" t="s">
        <v>43</v>
      </c>
      <c r="Q473" t="b">
        <v>1</v>
      </c>
      <c r="R473" t="s">
        <v>55</v>
      </c>
      <c r="S473" t="s">
        <v>68</v>
      </c>
      <c r="T473" t="s">
        <v>69</v>
      </c>
      <c r="U473" t="s">
        <v>78</v>
      </c>
      <c r="V473" t="s">
        <v>63</v>
      </c>
      <c r="W473" t="s">
        <v>1008</v>
      </c>
      <c r="X473" t="s">
        <v>80</v>
      </c>
      <c r="Y473">
        <v>9007199254741460</v>
      </c>
      <c r="Z473">
        <v>0</v>
      </c>
      <c r="AA473" t="s">
        <v>63</v>
      </c>
      <c r="AB473" t="b">
        <v>1</v>
      </c>
      <c r="AD473" s="3">
        <v>0.125</v>
      </c>
      <c r="AE473" s="2">
        <v>45921.5</v>
      </c>
      <c r="AF473" t="s">
        <v>60</v>
      </c>
    </row>
    <row r="474">
      <c r="A474" t="s">
        <v>1009</v>
      </c>
      <c r="B474" s="2">
        <v>45920.5</v>
      </c>
      <c r="C474" t="s">
        <v>37</v>
      </c>
      <c r="D474" t="s">
        <f>'客户档案'!B3</f>
        <v>38</v>
      </c>
      <c r="E474" t="s">
        <v>39</v>
      </c>
      <c r="F474" t="s">
        <v>40</v>
      </c>
      <c r="G474" t="s">
        <f>'商品目录'!B3</f>
        <v>41</v>
      </c>
      <c r="H474" t="s">
        <v>42</v>
      </c>
      <c r="I474">
        <v>8</v>
      </c>
      <c r="J474" s="4">
        <v>99</v>
      </c>
      <c r="K474" s="4">
        <f>I474*J474</f>
        <v>792</v>
      </c>
      <c r="L474" s="3">
        <v>0</v>
      </c>
      <c r="M474" s="4">
        <f>K474*L474</f>
        <v>0</v>
      </c>
      <c r="N474" s="4">
        <v>0</v>
      </c>
      <c r="O474" s="4">
        <f>K474-M474+N474</f>
        <v>792</v>
      </c>
      <c r="P474" t="s">
        <v>43</v>
      </c>
      <c r="Q474" t="b">
        <v>0</v>
      </c>
      <c r="R474" t="s">
        <v>44</v>
      </c>
      <c r="S474" t="s">
        <v>45</v>
      </c>
      <c r="T474" t="s">
        <v>46</v>
      </c>
      <c r="U474" t="s">
        <v>39</v>
      </c>
      <c r="V474" t="s">
        <v>38</v>
      </c>
      <c r="W474" t="s">
        <v>1010</v>
      </c>
      <c r="X474" t="s">
        <v>0</v>
      </c>
      <c r="Y474">
        <v>9007199254741461</v>
      </c>
      <c r="Z474">
        <v>0</v>
      </c>
      <c r="AA474" t="s">
        <v>38</v>
      </c>
      <c r="AB474" t="b">
        <v>0</v>
      </c>
      <c r="AD474" s="3">
        <v>0.125</v>
      </c>
      <c r="AE474" s="2">
        <v>45922.5</v>
      </c>
      <c r="AF474" t="s">
        <v>60</v>
      </c>
    </row>
    <row r="475">
      <c r="A475" t="s">
        <v>1011</v>
      </c>
      <c r="B475" s="2">
        <v>45921.5</v>
      </c>
      <c r="C475" t="s">
        <v>49</v>
      </c>
      <c r="D475" t="s">
        <f>'客户档案'!B4</f>
        <v>50</v>
      </c>
      <c r="E475" t="s">
        <v>51</v>
      </c>
      <c r="F475" t="s">
        <v>52</v>
      </c>
      <c r="G475" t="s">
        <f>'商品目录'!B4</f>
        <v>53</v>
      </c>
      <c r="H475" t="s">
        <v>54</v>
      </c>
      <c r="I475">
        <v>10</v>
      </c>
      <c r="J475" s="4">
        <v>129</v>
      </c>
      <c r="K475" s="4">
        <f>I475*J475</f>
        <v>1290</v>
      </c>
      <c r="L475" s="3">
        <v>0.5</v>
      </c>
      <c r="M475" s="4">
        <f>K475*L475</f>
        <v>645</v>
      </c>
      <c r="N475" s="4">
        <v>10</v>
      </c>
      <c r="O475" s="4">
        <f>K475-M475+N475</f>
        <v>655</v>
      </c>
      <c r="P475" t="s">
        <v>43</v>
      </c>
      <c r="Q475" t="b">
        <v>1</v>
      </c>
      <c r="R475" t="s">
        <v>55</v>
      </c>
      <c r="S475" t="s">
        <v>56</v>
      </c>
      <c r="T475" t="s">
        <v>57</v>
      </c>
      <c r="U475" t="s">
        <v>51</v>
      </c>
      <c r="V475" t="s">
        <v>50</v>
      </c>
      <c r="W475" t="s">
        <v>1012</v>
      </c>
      <c r="X475" t="s">
        <v>59</v>
      </c>
      <c r="Y475">
        <v>9007199254741462</v>
      </c>
      <c r="Z475">
        <v>0</v>
      </c>
      <c r="AA475" t="s">
        <v>50</v>
      </c>
      <c r="AB475" t="b">
        <v>1</v>
      </c>
      <c r="AD475" s="3">
        <v>0.125</v>
      </c>
      <c r="AE475" s="2">
        <v>45923.5</v>
      </c>
      <c r="AF475" t="s">
        <v>60</v>
      </c>
    </row>
    <row r="476">
      <c r="A476" t="s">
        <v>1013</v>
      </c>
      <c r="B476" s="2">
        <v>45922.5</v>
      </c>
      <c r="C476" t="s">
        <v>62</v>
      </c>
      <c r="D476" t="s">
        <f>'客户档案'!B5</f>
        <v>63</v>
      </c>
      <c r="E476" t="s">
        <v>64</v>
      </c>
      <c r="F476" t="s">
        <v>65</v>
      </c>
      <c r="G476" t="s">
        <f>'商品目录'!B5</f>
        <v>66</v>
      </c>
      <c r="H476" t="s">
        <v>67</v>
      </c>
      <c r="I476">
        <v>2</v>
      </c>
      <c r="J476" s="4">
        <v>45</v>
      </c>
      <c r="K476" s="4">
        <f>I476*J476</f>
        <v>90</v>
      </c>
      <c r="L476" s="3">
        <v>0</v>
      </c>
      <c r="M476" s="4">
        <f>K476*L476</f>
        <v>0</v>
      </c>
      <c r="N476" s="4">
        <v>20</v>
      </c>
      <c r="O476" s="4">
        <f>K476-M476+N476</f>
        <v>110</v>
      </c>
      <c r="P476" t="s">
        <v>43</v>
      </c>
      <c r="Q476" t="b">
        <v>1</v>
      </c>
      <c r="R476" t="s">
        <v>55</v>
      </c>
      <c r="S476" t="s">
        <v>68</v>
      </c>
      <c r="T476" t="s">
        <v>69</v>
      </c>
      <c r="U476" t="s">
        <v>70</v>
      </c>
      <c r="V476" t="s">
        <v>63</v>
      </c>
      <c r="W476" t="s">
        <v>1014</v>
      </c>
      <c r="X476" t="s">
        <v>72</v>
      </c>
      <c r="Y476">
        <v>9007199254741463</v>
      </c>
      <c r="Z476">
        <v>0</v>
      </c>
      <c r="AA476" t="s">
        <v>63</v>
      </c>
      <c r="AB476" t="b">
        <v>0</v>
      </c>
      <c r="AD476" s="3">
        <v>0.125</v>
      </c>
      <c r="AE476" s="2">
        <v>45924.5</v>
      </c>
      <c r="AF476" t="s">
        <v>60</v>
      </c>
    </row>
    <row r="477">
      <c r="A477" t="s">
        <v>1015</v>
      </c>
      <c r="B477" s="2">
        <v>45923.5</v>
      </c>
      <c r="C477" t="s">
        <v>37</v>
      </c>
      <c r="D477" t="s">
        <f>'客户档案'!B3</f>
        <v>38</v>
      </c>
      <c r="E477" t="s">
        <v>74</v>
      </c>
      <c r="F477" t="s">
        <v>75</v>
      </c>
      <c r="G477" t="s">
        <f>'商品目录'!B6</f>
        <v>76</v>
      </c>
      <c r="H477" t="s">
        <v>77</v>
      </c>
      <c r="I477">
        <v>4</v>
      </c>
      <c r="J477" s="4">
        <v>8</v>
      </c>
      <c r="K477" s="4">
        <f>I477*J477</f>
        <v>32</v>
      </c>
      <c r="L477" s="3">
        <v>0.5</v>
      </c>
      <c r="M477" s="4">
        <f>K477*L477</f>
        <v>16</v>
      </c>
      <c r="N477" s="4">
        <v>0</v>
      </c>
      <c r="O477" s="4">
        <f>K477-M477+N477</f>
        <v>16</v>
      </c>
      <c r="P477" t="s">
        <v>43</v>
      </c>
      <c r="Q477" t="b">
        <v>1</v>
      </c>
      <c r="R477" t="s">
        <v>55</v>
      </c>
      <c r="S477" t="s">
        <v>45</v>
      </c>
      <c r="T477" t="s">
        <v>46</v>
      </c>
      <c r="U477" t="s">
        <v>78</v>
      </c>
      <c r="V477" t="s">
        <v>38</v>
      </c>
      <c r="W477" t="s">
        <v>1016</v>
      </c>
      <c r="X477" t="s">
        <v>80</v>
      </c>
      <c r="Y477">
        <v>9007199254741464</v>
      </c>
      <c r="Z477">
        <v>0</v>
      </c>
      <c r="AA477" t="s">
        <v>38</v>
      </c>
      <c r="AB477" t="b">
        <v>1</v>
      </c>
      <c r="AD477" s="3">
        <v>0.125</v>
      </c>
      <c r="AE477" s="2">
        <v>45925.5</v>
      </c>
      <c r="AF477" t="s">
        <v>60</v>
      </c>
    </row>
    <row r="478">
      <c r="A478" t="s">
        <v>1017</v>
      </c>
      <c r="B478" s="2">
        <v>45924.5</v>
      </c>
      <c r="C478" t="s">
        <v>49</v>
      </c>
      <c r="D478" t="s">
        <f>'客户档案'!B4</f>
        <v>50</v>
      </c>
      <c r="E478" t="s">
        <v>39</v>
      </c>
      <c r="F478" t="s">
        <v>40</v>
      </c>
      <c r="G478" t="s">
        <f>'商品目录'!B3</f>
        <v>41</v>
      </c>
      <c r="H478" t="s">
        <v>42</v>
      </c>
      <c r="I478">
        <v>6</v>
      </c>
      <c r="J478" s="4">
        <v>99</v>
      </c>
      <c r="K478" s="4">
        <f>I478*J478</f>
        <v>594</v>
      </c>
      <c r="L478" s="3">
        <v>0</v>
      </c>
      <c r="M478" s="4">
        <f>K478*L478</f>
        <v>0</v>
      </c>
      <c r="N478" s="4">
        <v>10</v>
      </c>
      <c r="O478" s="4">
        <f>K478-M478+N478</f>
        <v>604</v>
      </c>
      <c r="P478" t="s">
        <v>43</v>
      </c>
      <c r="Q478" t="b">
        <v>0</v>
      </c>
      <c r="R478" t="s">
        <v>44</v>
      </c>
      <c r="S478" t="s">
        <v>56</v>
      </c>
      <c r="T478" t="s">
        <v>57</v>
      </c>
      <c r="U478" t="s">
        <v>39</v>
      </c>
      <c r="V478" t="s">
        <v>50</v>
      </c>
      <c r="W478" t="s">
        <v>1018</v>
      </c>
      <c r="X478" t="s">
        <v>0</v>
      </c>
      <c r="Y478">
        <v>9007199254741465</v>
      </c>
      <c r="Z478">
        <v>0</v>
      </c>
      <c r="AA478" t="s">
        <v>50</v>
      </c>
      <c r="AB478" t="b">
        <v>0</v>
      </c>
      <c r="AD478" s="3">
        <v>0.125</v>
      </c>
      <c r="AE478" s="2">
        <v>45926.5</v>
      </c>
      <c r="AF478" t="s">
        <v>60</v>
      </c>
    </row>
    <row r="479">
      <c r="A479" t="s">
        <v>1019</v>
      </c>
      <c r="B479" s="2">
        <v>45925.5</v>
      </c>
      <c r="C479" t="s">
        <v>62</v>
      </c>
      <c r="D479" t="s">
        <f>'客户档案'!B5</f>
        <v>63</v>
      </c>
      <c r="E479" t="s">
        <v>51</v>
      </c>
      <c r="F479" t="s">
        <v>52</v>
      </c>
      <c r="G479" t="s">
        <f>'商品目录'!B4</f>
        <v>53</v>
      </c>
      <c r="H479" t="s">
        <v>54</v>
      </c>
      <c r="I479">
        <v>8</v>
      </c>
      <c r="J479" s="4">
        <v>129</v>
      </c>
      <c r="K479" s="4">
        <f>I479*J479</f>
        <v>1032</v>
      </c>
      <c r="L479" s="3">
        <v>0.5</v>
      </c>
      <c r="M479" s="4">
        <f>K479*L479</f>
        <v>516</v>
      </c>
      <c r="N479" s="4">
        <v>20</v>
      </c>
      <c r="O479" s="4">
        <f>K479-M479+N479</f>
        <v>536</v>
      </c>
      <c r="P479" t="s">
        <v>43</v>
      </c>
      <c r="Q479" t="b">
        <v>1</v>
      </c>
      <c r="R479" t="s">
        <v>55</v>
      </c>
      <c r="S479" t="s">
        <v>68</v>
      </c>
      <c r="T479" t="s">
        <v>69</v>
      </c>
      <c r="U479" t="s">
        <v>51</v>
      </c>
      <c r="V479" t="s">
        <v>63</v>
      </c>
      <c r="W479" t="s">
        <v>1020</v>
      </c>
      <c r="X479" t="s">
        <v>59</v>
      </c>
      <c r="Y479">
        <v>9007199254741466</v>
      </c>
      <c r="Z479">
        <v>0</v>
      </c>
      <c r="AA479" t="s">
        <v>63</v>
      </c>
      <c r="AB479" t="b">
        <v>1</v>
      </c>
      <c r="AD479" s="3">
        <v>0.125</v>
      </c>
      <c r="AE479" s="2">
        <v>45927.5</v>
      </c>
      <c r="AF479" t="s">
        <v>60</v>
      </c>
    </row>
    <row r="480">
      <c r="A480" t="s">
        <v>1021</v>
      </c>
      <c r="B480" s="2">
        <v>45926.5</v>
      </c>
      <c r="C480" t="s">
        <v>37</v>
      </c>
      <c r="D480" t="s">
        <f>'客户档案'!B3</f>
        <v>38</v>
      </c>
      <c r="E480" t="s">
        <v>64</v>
      </c>
      <c r="F480" t="s">
        <v>65</v>
      </c>
      <c r="G480" t="s">
        <f>'商品目录'!B5</f>
        <v>66</v>
      </c>
      <c r="H480" t="s">
        <v>67</v>
      </c>
      <c r="I480">
        <v>10</v>
      </c>
      <c r="J480" s="4">
        <v>45</v>
      </c>
      <c r="K480" s="4">
        <f>I480*J480</f>
        <v>450</v>
      </c>
      <c r="L480" s="3">
        <v>0</v>
      </c>
      <c r="M480" s="4">
        <f>K480*L480</f>
        <v>0</v>
      </c>
      <c r="N480" s="4">
        <v>0</v>
      </c>
      <c r="O480" s="4">
        <f>K480-M480+N480</f>
        <v>450</v>
      </c>
      <c r="P480" t="s">
        <v>43</v>
      </c>
      <c r="Q480" t="b">
        <v>1</v>
      </c>
      <c r="R480" t="s">
        <v>55</v>
      </c>
      <c r="S480" t="s">
        <v>45</v>
      </c>
      <c r="T480" t="s">
        <v>46</v>
      </c>
      <c r="U480" t="s">
        <v>70</v>
      </c>
      <c r="V480" t="s">
        <v>38</v>
      </c>
      <c r="W480" t="s">
        <v>1022</v>
      </c>
      <c r="X480" t="s">
        <v>72</v>
      </c>
      <c r="Y480">
        <v>9007199254741467</v>
      </c>
      <c r="Z480">
        <v>0</v>
      </c>
      <c r="AA480" t="s">
        <v>38</v>
      </c>
      <c r="AB480" t="b">
        <v>0</v>
      </c>
      <c r="AD480" s="3">
        <v>0.125</v>
      </c>
      <c r="AE480" s="2">
        <v>45928.5</v>
      </c>
      <c r="AF480" t="s">
        <v>60</v>
      </c>
    </row>
    <row r="481">
      <c r="A481" t="s">
        <v>1023</v>
      </c>
      <c r="B481" s="2">
        <v>45927.5</v>
      </c>
      <c r="C481" t="s">
        <v>49</v>
      </c>
      <c r="D481" t="s">
        <f>'客户档案'!B4</f>
        <v>50</v>
      </c>
      <c r="E481" t="s">
        <v>74</v>
      </c>
      <c r="F481" t="s">
        <v>75</v>
      </c>
      <c r="G481" t="s">
        <f>'商品目录'!B6</f>
        <v>76</v>
      </c>
      <c r="H481" t="s">
        <v>77</v>
      </c>
      <c r="I481">
        <v>2</v>
      </c>
      <c r="J481" s="4">
        <v>8</v>
      </c>
      <c r="K481" s="4">
        <f>I481*J481</f>
        <v>16</v>
      </c>
      <c r="L481" s="3">
        <v>0.5</v>
      </c>
      <c r="M481" s="4">
        <f>K481*L481</f>
        <v>8</v>
      </c>
      <c r="N481" s="4">
        <v>10</v>
      </c>
      <c r="O481" s="4">
        <f>K481-M481+N481</f>
        <v>18</v>
      </c>
      <c r="P481" t="s">
        <v>43</v>
      </c>
      <c r="Q481" t="b">
        <v>1</v>
      </c>
      <c r="R481" t="s">
        <v>55</v>
      </c>
      <c r="S481" t="s">
        <v>56</v>
      </c>
      <c r="T481" t="s">
        <v>57</v>
      </c>
      <c r="U481" t="s">
        <v>78</v>
      </c>
      <c r="V481" t="s">
        <v>50</v>
      </c>
      <c r="W481" t="s">
        <v>1024</v>
      </c>
      <c r="X481" t="s">
        <v>80</v>
      </c>
      <c r="Y481">
        <v>9007199254741468</v>
      </c>
      <c r="Z481">
        <v>0</v>
      </c>
      <c r="AA481" t="s">
        <v>50</v>
      </c>
      <c r="AB481" t="b">
        <v>1</v>
      </c>
      <c r="AD481" s="3">
        <v>0.125</v>
      </c>
      <c r="AE481" s="2">
        <v>45929.5</v>
      </c>
      <c r="AF481" t="s">
        <v>60</v>
      </c>
    </row>
    <row r="482">
      <c r="A482" t="s">
        <v>1025</v>
      </c>
      <c r="B482" s="2">
        <v>45900.5</v>
      </c>
      <c r="C482" t="s">
        <v>62</v>
      </c>
      <c r="D482" t="s">
        <f>'客户档案'!B5</f>
        <v>63</v>
      </c>
      <c r="E482" t="s">
        <v>39</v>
      </c>
      <c r="F482" t="s">
        <v>40</v>
      </c>
      <c r="G482" t="s">
        <f>'商品目录'!B3</f>
        <v>41</v>
      </c>
      <c r="H482" t="s">
        <v>42</v>
      </c>
      <c r="I482">
        <v>4</v>
      </c>
      <c r="J482" s="4">
        <v>99</v>
      </c>
      <c r="K482" s="4">
        <f>I482*J482</f>
        <v>396</v>
      </c>
      <c r="L482" s="3">
        <v>0</v>
      </c>
      <c r="M482" s="4">
        <f>K482*L482</f>
        <v>0</v>
      </c>
      <c r="N482" s="4">
        <v>20</v>
      </c>
      <c r="O482" s="4">
        <f>K482-M482+N482</f>
        <v>416</v>
      </c>
      <c r="P482" t="s">
        <v>43</v>
      </c>
      <c r="Q482" t="b">
        <v>0</v>
      </c>
      <c r="R482" t="s">
        <v>44</v>
      </c>
      <c r="S482" t="s">
        <v>68</v>
      </c>
      <c r="T482" t="s">
        <v>69</v>
      </c>
      <c r="U482" t="s">
        <v>39</v>
      </c>
      <c r="V482" t="s">
        <v>63</v>
      </c>
      <c r="W482" t="s">
        <v>1026</v>
      </c>
      <c r="X482" t="s">
        <v>0</v>
      </c>
      <c r="Y482">
        <v>9007199254741469</v>
      </c>
      <c r="Z482">
        <v>2</v>
      </c>
      <c r="AA482" t="s">
        <v>63</v>
      </c>
      <c r="AB482" t="b">
        <v>0</v>
      </c>
      <c r="AD482" s="3">
        <v>0.125</v>
      </c>
      <c r="AE482" s="2">
        <v>45902.5</v>
      </c>
      <c r="AF482" t="s">
        <v>60</v>
      </c>
    </row>
    <row r="483">
      <c r="A483" t="s">
        <v>1027</v>
      </c>
      <c r="B483" s="2">
        <v>45901.5</v>
      </c>
      <c r="C483" t="s">
        <v>37</v>
      </c>
      <c r="D483" t="s">
        <f>'客户档案'!B3</f>
        <v>38</v>
      </c>
      <c r="E483" t="s">
        <v>51</v>
      </c>
      <c r="F483" t="s">
        <v>52</v>
      </c>
      <c r="G483" t="s">
        <f>'商品目录'!B4</f>
        <v>53</v>
      </c>
      <c r="H483" t="s">
        <v>54</v>
      </c>
      <c r="I483">
        <v>6</v>
      </c>
      <c r="J483" s="4">
        <v>129</v>
      </c>
      <c r="K483" s="4">
        <f>I483*J483</f>
        <v>774</v>
      </c>
      <c r="L483" s="3">
        <v>0.5</v>
      </c>
      <c r="M483" s="4">
        <f>K483*L483</f>
        <v>387</v>
      </c>
      <c r="N483" s="4">
        <v>0</v>
      </c>
      <c r="O483" s="4">
        <f>K483-M483+N483</f>
        <v>387</v>
      </c>
      <c r="P483" t="s">
        <v>43</v>
      </c>
      <c r="Q483" t="b">
        <v>1</v>
      </c>
      <c r="R483" t="s">
        <v>55</v>
      </c>
      <c r="S483" t="s">
        <v>45</v>
      </c>
      <c r="T483" t="s">
        <v>46</v>
      </c>
      <c r="U483" t="s">
        <v>51</v>
      </c>
      <c r="V483" t="s">
        <v>38</v>
      </c>
      <c r="W483" t="s">
        <v>1028</v>
      </c>
      <c r="X483" t="s">
        <v>59</v>
      </c>
      <c r="Y483">
        <v>9007199254741470</v>
      </c>
      <c r="Z483">
        <v>0</v>
      </c>
      <c r="AA483" t="s">
        <v>38</v>
      </c>
      <c r="AB483" t="b">
        <v>1</v>
      </c>
      <c r="AD483" s="3">
        <v>0.125</v>
      </c>
      <c r="AE483" s="2">
        <v>45903.5</v>
      </c>
      <c r="AF483" t="s">
        <v>60</v>
      </c>
    </row>
    <row r="484">
      <c r="A484" t="s">
        <v>1029</v>
      </c>
      <c r="B484" s="2">
        <v>45902.5</v>
      </c>
      <c r="C484" t="s">
        <v>49</v>
      </c>
      <c r="D484" t="s">
        <f>'客户档案'!B4</f>
        <v>50</v>
      </c>
      <c r="E484" t="s">
        <v>64</v>
      </c>
      <c r="F484" t="s">
        <v>65</v>
      </c>
      <c r="G484" t="s">
        <f>'商品目录'!B5</f>
        <v>66</v>
      </c>
      <c r="H484" t="s">
        <v>67</v>
      </c>
      <c r="I484">
        <v>8</v>
      </c>
      <c r="J484" s="4">
        <v>45</v>
      </c>
      <c r="K484" s="4">
        <f>I484*J484</f>
        <v>360</v>
      </c>
      <c r="L484" s="3">
        <v>0</v>
      </c>
      <c r="M484" s="4">
        <f>K484*L484</f>
        <v>0</v>
      </c>
      <c r="N484" s="4">
        <v>10</v>
      </c>
      <c r="O484" s="4">
        <f>K484-M484+N484</f>
        <v>370</v>
      </c>
      <c r="P484" t="s">
        <v>43</v>
      </c>
      <c r="Q484" t="b">
        <v>1</v>
      </c>
      <c r="R484" t="s">
        <v>55</v>
      </c>
      <c r="S484" t="s">
        <v>56</v>
      </c>
      <c r="T484" t="s">
        <v>57</v>
      </c>
      <c r="U484" t="s">
        <v>70</v>
      </c>
      <c r="V484" t="s">
        <v>50</v>
      </c>
      <c r="W484" t="s">
        <v>1030</v>
      </c>
      <c r="X484" t="s">
        <v>72</v>
      </c>
      <c r="Y484">
        <v>9007199254741471</v>
      </c>
      <c r="Z484">
        <v>0</v>
      </c>
      <c r="AA484" t="s">
        <v>50</v>
      </c>
      <c r="AB484" t="b">
        <v>0</v>
      </c>
      <c r="AD484" s="3">
        <v>0.125</v>
      </c>
      <c r="AE484" s="2">
        <v>45904.5</v>
      </c>
      <c r="AF484" t="s">
        <v>60</v>
      </c>
    </row>
    <row r="485">
      <c r="A485" t="s">
        <v>1031</v>
      </c>
      <c r="B485" s="2">
        <v>45903.5</v>
      </c>
      <c r="C485" t="s">
        <v>62</v>
      </c>
      <c r="D485" t="s">
        <f>'客户档案'!B5</f>
        <v>63</v>
      </c>
      <c r="E485" t="s">
        <v>74</v>
      </c>
      <c r="F485" t="s">
        <v>75</v>
      </c>
      <c r="G485" t="s">
        <f>'商品目录'!B6</f>
        <v>76</v>
      </c>
      <c r="H485" t="s">
        <v>77</v>
      </c>
      <c r="I485">
        <v>10</v>
      </c>
      <c r="J485" s="4">
        <v>8</v>
      </c>
      <c r="K485" s="4">
        <f>I485*J485</f>
        <v>80</v>
      </c>
      <c r="L485" s="3">
        <v>0.5</v>
      </c>
      <c r="M485" s="4">
        <f>K485*L485</f>
        <v>40</v>
      </c>
      <c r="N485" s="4">
        <v>20</v>
      </c>
      <c r="O485" s="4">
        <f>K485-M485+N485</f>
        <v>60</v>
      </c>
      <c r="P485" t="s">
        <v>43</v>
      </c>
      <c r="Q485" t="b">
        <v>1</v>
      </c>
      <c r="R485" t="s">
        <v>55</v>
      </c>
      <c r="S485" t="s">
        <v>68</v>
      </c>
      <c r="T485" t="s">
        <v>69</v>
      </c>
      <c r="U485" t="s">
        <v>78</v>
      </c>
      <c r="V485" t="s">
        <v>63</v>
      </c>
      <c r="W485" t="s">
        <v>1032</v>
      </c>
      <c r="X485" t="s">
        <v>80</v>
      </c>
      <c r="Y485">
        <v>9007199254741472</v>
      </c>
      <c r="Z485">
        <v>0</v>
      </c>
      <c r="AA485" t="s">
        <v>63</v>
      </c>
      <c r="AB485" t="b">
        <v>1</v>
      </c>
      <c r="AD485" s="3">
        <v>0.125</v>
      </c>
      <c r="AE485" s="2">
        <v>45905.5</v>
      </c>
      <c r="AF485" t="s">
        <v>60</v>
      </c>
    </row>
    <row r="486">
      <c r="A486" t="s">
        <v>1033</v>
      </c>
      <c r="B486" s="2">
        <v>45904.5</v>
      </c>
      <c r="C486" t="s">
        <v>37</v>
      </c>
      <c r="D486" t="s">
        <f>'客户档案'!B3</f>
        <v>38</v>
      </c>
      <c r="E486" t="s">
        <v>39</v>
      </c>
      <c r="F486" t="s">
        <v>40</v>
      </c>
      <c r="G486" t="s">
        <f>'商品目录'!B3</f>
        <v>41</v>
      </c>
      <c r="H486" t="s">
        <v>42</v>
      </c>
      <c r="I486">
        <v>2</v>
      </c>
      <c r="J486" s="4">
        <v>99</v>
      </c>
      <c r="K486" s="4">
        <f>I486*J486</f>
        <v>198</v>
      </c>
      <c r="L486" s="3">
        <v>0</v>
      </c>
      <c r="M486" s="4">
        <f>K486*L486</f>
        <v>0</v>
      </c>
      <c r="N486" s="4">
        <v>0</v>
      </c>
      <c r="O486" s="4">
        <f>K486-M486+N486</f>
        <v>198</v>
      </c>
      <c r="P486" t="s">
        <v>43</v>
      </c>
      <c r="Q486" t="b">
        <v>0</v>
      </c>
      <c r="R486" t="s">
        <v>44</v>
      </c>
      <c r="S486" t="s">
        <v>45</v>
      </c>
      <c r="T486" t="s">
        <v>46</v>
      </c>
      <c r="U486" t="s">
        <v>39</v>
      </c>
      <c r="V486" t="s">
        <v>38</v>
      </c>
      <c r="W486" t="s">
        <v>1034</v>
      </c>
      <c r="X486" t="s">
        <v>0</v>
      </c>
      <c r="Y486">
        <v>9007199254741473</v>
      </c>
      <c r="Z486">
        <v>0</v>
      </c>
      <c r="AA486" t="s">
        <v>38</v>
      </c>
      <c r="AB486" t="b">
        <v>0</v>
      </c>
      <c r="AD486" s="3">
        <v>0.125</v>
      </c>
      <c r="AE486" s="2">
        <v>45906.5</v>
      </c>
      <c r="AF486" t="s">
        <v>60</v>
      </c>
    </row>
    <row r="487">
      <c r="A487" t="s">
        <v>1035</v>
      </c>
      <c r="B487" s="2">
        <v>45905.5</v>
      </c>
      <c r="C487" t="s">
        <v>49</v>
      </c>
      <c r="D487" t="s">
        <f>'客户档案'!B4</f>
        <v>50</v>
      </c>
      <c r="E487" t="s">
        <v>51</v>
      </c>
      <c r="F487" t="s">
        <v>52</v>
      </c>
      <c r="G487" t="s">
        <f>'商品目录'!B4</f>
        <v>53</v>
      </c>
      <c r="H487" t="s">
        <v>54</v>
      </c>
      <c r="I487">
        <v>4</v>
      </c>
      <c r="J487" s="4">
        <v>129</v>
      </c>
      <c r="K487" s="4">
        <f>I487*J487</f>
        <v>516</v>
      </c>
      <c r="L487" s="3">
        <v>0.5</v>
      </c>
      <c r="M487" s="4">
        <f>K487*L487</f>
        <v>258</v>
      </c>
      <c r="N487" s="4">
        <v>10</v>
      </c>
      <c r="O487" s="4">
        <f>K487-M487+N487</f>
        <v>268</v>
      </c>
      <c r="P487" t="s">
        <v>43</v>
      </c>
      <c r="Q487" t="b">
        <v>1</v>
      </c>
      <c r="R487" t="s">
        <v>55</v>
      </c>
      <c r="S487" t="s">
        <v>56</v>
      </c>
      <c r="T487" t="s">
        <v>57</v>
      </c>
      <c r="U487" t="s">
        <v>51</v>
      </c>
      <c r="V487" t="s">
        <v>50</v>
      </c>
      <c r="W487" t="s">
        <v>1036</v>
      </c>
      <c r="X487" t="s">
        <v>59</v>
      </c>
      <c r="Y487">
        <v>9007199254741474</v>
      </c>
      <c r="Z487">
        <v>0</v>
      </c>
      <c r="AA487" t="s">
        <v>50</v>
      </c>
      <c r="AB487" t="b">
        <v>1</v>
      </c>
      <c r="AD487" s="3">
        <v>0.125</v>
      </c>
      <c r="AE487" s="2">
        <v>45907.5</v>
      </c>
      <c r="AF487" t="s">
        <v>60</v>
      </c>
    </row>
    <row r="488">
      <c r="A488" t="s">
        <v>1037</v>
      </c>
      <c r="B488" s="2">
        <v>45906.5</v>
      </c>
      <c r="C488" t="s">
        <v>62</v>
      </c>
      <c r="D488" t="s">
        <f>'客户档案'!B5</f>
        <v>63</v>
      </c>
      <c r="E488" t="s">
        <v>64</v>
      </c>
      <c r="F488" t="s">
        <v>65</v>
      </c>
      <c r="G488" t="s">
        <f>'商品目录'!B5</f>
        <v>66</v>
      </c>
      <c r="H488" t="s">
        <v>67</v>
      </c>
      <c r="I488">
        <v>6</v>
      </c>
      <c r="J488" s="4">
        <v>45</v>
      </c>
      <c r="K488" s="4">
        <f>I488*J488</f>
        <v>270</v>
      </c>
      <c r="L488" s="3">
        <v>0</v>
      </c>
      <c r="M488" s="4">
        <f>K488*L488</f>
        <v>0</v>
      </c>
      <c r="N488" s="4">
        <v>20</v>
      </c>
      <c r="O488" s="4">
        <f>K488-M488+N488</f>
        <v>290</v>
      </c>
      <c r="P488" t="s">
        <v>43</v>
      </c>
      <c r="Q488" t="b">
        <v>1</v>
      </c>
      <c r="R488" t="s">
        <v>55</v>
      </c>
      <c r="S488" t="s">
        <v>68</v>
      </c>
      <c r="T488" t="s">
        <v>69</v>
      </c>
      <c r="U488" t="s">
        <v>70</v>
      </c>
      <c r="V488" t="s">
        <v>63</v>
      </c>
      <c r="W488" t="s">
        <v>1038</v>
      </c>
      <c r="X488" t="s">
        <v>72</v>
      </c>
      <c r="Y488">
        <v>9007199254741475</v>
      </c>
      <c r="Z488">
        <v>0</v>
      </c>
      <c r="AA488" t="s">
        <v>63</v>
      </c>
      <c r="AB488" t="b">
        <v>0</v>
      </c>
      <c r="AD488" s="3">
        <v>0.125</v>
      </c>
      <c r="AE488" s="2">
        <v>45908.5</v>
      </c>
      <c r="AF488" t="s">
        <v>60</v>
      </c>
    </row>
    <row r="489">
      <c r="A489" t="s">
        <v>1039</v>
      </c>
      <c r="B489" s="2">
        <v>45907.5</v>
      </c>
      <c r="C489" t="s">
        <v>37</v>
      </c>
      <c r="D489" t="s">
        <f>'客户档案'!B3</f>
        <v>38</v>
      </c>
      <c r="E489" t="s">
        <v>74</v>
      </c>
      <c r="F489" t="s">
        <v>75</v>
      </c>
      <c r="G489" t="s">
        <f>'商品目录'!B6</f>
        <v>76</v>
      </c>
      <c r="H489" t="s">
        <v>77</v>
      </c>
      <c r="I489">
        <v>8</v>
      </c>
      <c r="J489" s="4">
        <v>8</v>
      </c>
      <c r="K489" s="4">
        <f>I489*J489</f>
        <v>64</v>
      </c>
      <c r="L489" s="3">
        <v>0.5</v>
      </c>
      <c r="M489" s="4">
        <f>K489*L489</f>
        <v>32</v>
      </c>
      <c r="N489" s="4">
        <v>0</v>
      </c>
      <c r="O489" s="4">
        <f>K489-M489+N489</f>
        <v>32</v>
      </c>
      <c r="P489" t="s">
        <v>43</v>
      </c>
      <c r="Q489" t="b">
        <v>1</v>
      </c>
      <c r="R489" t="s">
        <v>55</v>
      </c>
      <c r="S489" t="s">
        <v>45</v>
      </c>
      <c r="T489" t="s">
        <v>46</v>
      </c>
      <c r="U489" t="s">
        <v>78</v>
      </c>
      <c r="V489" t="s">
        <v>38</v>
      </c>
      <c r="W489" t="s">
        <v>1040</v>
      </c>
      <c r="X489" t="s">
        <v>80</v>
      </c>
      <c r="Y489">
        <v>9007199254741476</v>
      </c>
      <c r="Z489">
        <v>0</v>
      </c>
      <c r="AA489" t="s">
        <v>38</v>
      </c>
      <c r="AB489" t="b">
        <v>1</v>
      </c>
      <c r="AD489" s="3">
        <v>0.125</v>
      </c>
      <c r="AE489" s="2">
        <v>45909.5</v>
      </c>
      <c r="AF489" t="s">
        <v>60</v>
      </c>
    </row>
    <row r="490">
      <c r="A490" t="s">
        <v>1041</v>
      </c>
      <c r="B490" s="2">
        <v>45908.5</v>
      </c>
      <c r="C490" t="s">
        <v>49</v>
      </c>
      <c r="D490" t="s">
        <f>'客户档案'!B4</f>
        <v>50</v>
      </c>
      <c r="E490" t="s">
        <v>39</v>
      </c>
      <c r="F490" t="s">
        <v>40</v>
      </c>
      <c r="G490" t="s">
        <f>'商品目录'!B3</f>
        <v>41</v>
      </c>
      <c r="H490" t="s">
        <v>42</v>
      </c>
      <c r="I490">
        <v>10</v>
      </c>
      <c r="J490" s="4">
        <v>99</v>
      </c>
      <c r="K490" s="4">
        <f>I490*J490</f>
        <v>990</v>
      </c>
      <c r="L490" s="3">
        <v>0</v>
      </c>
      <c r="M490" s="4">
        <f>K490*L490</f>
        <v>0</v>
      </c>
      <c r="N490" s="4">
        <v>10</v>
      </c>
      <c r="O490" s="4">
        <f>K490-M490+N490</f>
        <v>1000</v>
      </c>
      <c r="P490" t="s">
        <v>43</v>
      </c>
      <c r="Q490" t="b">
        <v>0</v>
      </c>
      <c r="R490" t="s">
        <v>44</v>
      </c>
      <c r="S490" t="s">
        <v>56</v>
      </c>
      <c r="T490" t="s">
        <v>57</v>
      </c>
      <c r="U490" t="s">
        <v>39</v>
      </c>
      <c r="V490" t="s">
        <v>50</v>
      </c>
      <c r="W490" t="s">
        <v>1042</v>
      </c>
      <c r="X490" t="s">
        <v>0</v>
      </c>
      <c r="Y490">
        <v>9007199254741477</v>
      </c>
      <c r="Z490">
        <v>0</v>
      </c>
      <c r="AA490" t="s">
        <v>50</v>
      </c>
      <c r="AB490" t="b">
        <v>0</v>
      </c>
      <c r="AD490" s="3">
        <v>0.125</v>
      </c>
      <c r="AE490" s="2">
        <v>45910.5</v>
      </c>
      <c r="AF490" t="s">
        <v>60</v>
      </c>
    </row>
    <row r="491">
      <c r="A491" t="s">
        <v>1043</v>
      </c>
      <c r="B491" s="2">
        <v>45909.5</v>
      </c>
      <c r="C491" t="s">
        <v>62</v>
      </c>
      <c r="D491" t="s">
        <f>'客户档案'!B5</f>
        <v>63</v>
      </c>
      <c r="E491" t="s">
        <v>51</v>
      </c>
      <c r="F491" t="s">
        <v>52</v>
      </c>
      <c r="G491" t="s">
        <f>'商品目录'!B4</f>
        <v>53</v>
      </c>
      <c r="H491" t="s">
        <v>54</v>
      </c>
      <c r="I491">
        <v>2</v>
      </c>
      <c r="J491" s="4">
        <v>129</v>
      </c>
      <c r="K491" s="4">
        <f>I491*J491</f>
        <v>258</v>
      </c>
      <c r="L491" s="3">
        <v>0.5</v>
      </c>
      <c r="M491" s="4">
        <f>K491*L491</f>
        <v>129</v>
      </c>
      <c r="N491" s="4">
        <v>20</v>
      </c>
      <c r="O491" s="4">
        <f>K491-M491+N491</f>
        <v>149</v>
      </c>
      <c r="P491" t="s">
        <v>43</v>
      </c>
      <c r="Q491" t="b">
        <v>1</v>
      </c>
      <c r="R491" t="s">
        <v>55</v>
      </c>
      <c r="S491" t="s">
        <v>68</v>
      </c>
      <c r="T491" t="s">
        <v>69</v>
      </c>
      <c r="U491" t="s">
        <v>51</v>
      </c>
      <c r="V491" t="s">
        <v>63</v>
      </c>
      <c r="W491" t="s">
        <v>1044</v>
      </c>
      <c r="X491" t="s">
        <v>59</v>
      </c>
      <c r="Y491">
        <v>9007199254741478</v>
      </c>
      <c r="Z491">
        <v>0</v>
      </c>
      <c r="AA491" t="s">
        <v>63</v>
      </c>
      <c r="AB491" t="b">
        <v>1</v>
      </c>
      <c r="AD491" s="3">
        <v>0.125</v>
      </c>
      <c r="AE491" s="2">
        <v>45911.5</v>
      </c>
      <c r="AF491" t="s">
        <v>60</v>
      </c>
    </row>
    <row r="492">
      <c r="A492" t="s">
        <v>1045</v>
      </c>
      <c r="B492" s="2">
        <v>45910.5</v>
      </c>
      <c r="C492" t="s">
        <v>37</v>
      </c>
      <c r="D492" t="s">
        <f>'客户档案'!B3</f>
        <v>38</v>
      </c>
      <c r="E492" t="s">
        <v>64</v>
      </c>
      <c r="F492" t="s">
        <v>65</v>
      </c>
      <c r="G492" t="s">
        <f>'商品目录'!B5</f>
        <v>66</v>
      </c>
      <c r="H492" t="s">
        <v>67</v>
      </c>
      <c r="I492">
        <v>4</v>
      </c>
      <c r="J492" s="4">
        <v>45</v>
      </c>
      <c r="K492" s="4">
        <f>I492*J492</f>
        <v>180</v>
      </c>
      <c r="L492" s="3">
        <v>0</v>
      </c>
      <c r="M492" s="4">
        <f>K492*L492</f>
        <v>0</v>
      </c>
      <c r="N492" s="4">
        <v>0</v>
      </c>
      <c r="O492" s="4">
        <f>K492-M492+N492</f>
        <v>180</v>
      </c>
      <c r="P492" t="s">
        <v>43</v>
      </c>
      <c r="Q492" t="b">
        <v>1</v>
      </c>
      <c r="R492" t="s">
        <v>55</v>
      </c>
      <c r="S492" t="s">
        <v>45</v>
      </c>
      <c r="T492" t="s">
        <v>46</v>
      </c>
      <c r="U492" t="s">
        <v>70</v>
      </c>
      <c r="V492" t="s">
        <v>38</v>
      </c>
      <c r="W492" t="s">
        <v>1046</v>
      </c>
      <c r="X492" t="s">
        <v>72</v>
      </c>
      <c r="Y492">
        <v>9007199254741479</v>
      </c>
      <c r="Z492">
        <v>0</v>
      </c>
      <c r="AA492" t="s">
        <v>38</v>
      </c>
      <c r="AB492" t="b">
        <v>0</v>
      </c>
      <c r="AD492" s="3">
        <v>0.125</v>
      </c>
      <c r="AE492" s="2">
        <v>45912.5</v>
      </c>
      <c r="AF492" t="s">
        <v>60</v>
      </c>
    </row>
    <row r="493">
      <c r="A493" t="s">
        <v>1047</v>
      </c>
      <c r="B493" s="2">
        <v>45911.5</v>
      </c>
      <c r="C493" t="s">
        <v>49</v>
      </c>
      <c r="D493" t="s">
        <f>'客户档案'!B4</f>
        <v>50</v>
      </c>
      <c r="E493" t="s">
        <v>74</v>
      </c>
      <c r="F493" t="s">
        <v>75</v>
      </c>
      <c r="G493" t="s">
        <f>'商品目录'!B6</f>
        <v>76</v>
      </c>
      <c r="H493" t="s">
        <v>77</v>
      </c>
      <c r="I493">
        <v>6</v>
      </c>
      <c r="J493" s="4">
        <v>8</v>
      </c>
      <c r="K493" s="4">
        <f>I493*J493</f>
        <v>48</v>
      </c>
      <c r="L493" s="3">
        <v>0.5</v>
      </c>
      <c r="M493" s="4">
        <f>K493*L493</f>
        <v>24</v>
      </c>
      <c r="N493" s="4">
        <v>10</v>
      </c>
      <c r="O493" s="4">
        <f>K493-M493+N493</f>
        <v>34</v>
      </c>
      <c r="P493" t="s">
        <v>43</v>
      </c>
      <c r="Q493" t="b">
        <v>1</v>
      </c>
      <c r="R493" t="s">
        <v>55</v>
      </c>
      <c r="S493" t="s">
        <v>56</v>
      </c>
      <c r="T493" t="s">
        <v>57</v>
      </c>
      <c r="U493" t="s">
        <v>78</v>
      </c>
      <c r="V493" t="s">
        <v>50</v>
      </c>
      <c r="W493" t="s">
        <v>1048</v>
      </c>
      <c r="X493" t="s">
        <v>80</v>
      </c>
      <c r="Y493">
        <v>9007199254741480</v>
      </c>
      <c r="Z493">
        <v>0</v>
      </c>
      <c r="AA493" t="s">
        <v>50</v>
      </c>
      <c r="AB493" t="b">
        <v>1</v>
      </c>
      <c r="AD493" s="3">
        <v>0.125</v>
      </c>
      <c r="AE493" s="2">
        <v>45913.5</v>
      </c>
      <c r="AF493" t="s">
        <v>60</v>
      </c>
    </row>
    <row r="494">
      <c r="A494" t="s">
        <v>1049</v>
      </c>
      <c r="B494" s="2">
        <v>45912.5</v>
      </c>
      <c r="C494" t="s">
        <v>62</v>
      </c>
      <c r="D494" t="s">
        <f>'客户档案'!B5</f>
        <v>63</v>
      </c>
      <c r="E494" t="s">
        <v>39</v>
      </c>
      <c r="F494" t="s">
        <v>40</v>
      </c>
      <c r="G494" t="s">
        <f>'商品目录'!B3</f>
        <v>41</v>
      </c>
      <c r="H494" t="s">
        <v>42</v>
      </c>
      <c r="I494">
        <v>8</v>
      </c>
      <c r="J494" s="4">
        <v>99</v>
      </c>
      <c r="K494" s="4">
        <f>I494*J494</f>
        <v>792</v>
      </c>
      <c r="L494" s="3">
        <v>0</v>
      </c>
      <c r="M494" s="4">
        <f>K494*L494</f>
        <v>0</v>
      </c>
      <c r="N494" s="4">
        <v>20</v>
      </c>
      <c r="O494" s="4">
        <f>K494-M494+N494</f>
        <v>812</v>
      </c>
      <c r="P494" t="s">
        <v>43</v>
      </c>
      <c r="Q494" t="b">
        <v>0</v>
      </c>
      <c r="R494" t="s">
        <v>44</v>
      </c>
      <c r="S494" t="s">
        <v>68</v>
      </c>
      <c r="T494" t="s">
        <v>69</v>
      </c>
      <c r="U494" t="s">
        <v>39</v>
      </c>
      <c r="V494" t="s">
        <v>63</v>
      </c>
      <c r="W494" t="s">
        <v>1050</v>
      </c>
      <c r="X494" t="s">
        <v>0</v>
      </c>
      <c r="Y494">
        <v>9007199254741481</v>
      </c>
      <c r="Z494">
        <v>0</v>
      </c>
      <c r="AA494" t="s">
        <v>63</v>
      </c>
      <c r="AB494" t="b">
        <v>0</v>
      </c>
      <c r="AD494" s="3">
        <v>0.125</v>
      </c>
      <c r="AE494" s="2">
        <v>45914.5</v>
      </c>
      <c r="AF494" t="s">
        <v>60</v>
      </c>
    </row>
    <row r="495">
      <c r="A495" t="s">
        <v>1051</v>
      </c>
      <c r="B495" s="2">
        <v>45913.5</v>
      </c>
      <c r="C495" t="s">
        <v>37</v>
      </c>
      <c r="D495" t="s">
        <f>'客户档案'!B3</f>
        <v>38</v>
      </c>
      <c r="E495" t="s">
        <v>51</v>
      </c>
      <c r="F495" t="s">
        <v>52</v>
      </c>
      <c r="G495" t="s">
        <f>'商品目录'!B4</f>
        <v>53</v>
      </c>
      <c r="H495" t="s">
        <v>54</v>
      </c>
      <c r="I495">
        <v>10</v>
      </c>
      <c r="J495" s="4">
        <v>129</v>
      </c>
      <c r="K495" s="4">
        <f>I495*J495</f>
        <v>1290</v>
      </c>
      <c r="L495" s="3">
        <v>0.5</v>
      </c>
      <c r="M495" s="4">
        <f>K495*L495</f>
        <v>645</v>
      </c>
      <c r="N495" s="4">
        <v>0</v>
      </c>
      <c r="O495" s="4">
        <f>K495-M495+N495</f>
        <v>645</v>
      </c>
      <c r="P495" t="s">
        <v>43</v>
      </c>
      <c r="Q495" t="b">
        <v>1</v>
      </c>
      <c r="R495" t="s">
        <v>55</v>
      </c>
      <c r="S495" t="s">
        <v>45</v>
      </c>
      <c r="T495" t="s">
        <v>46</v>
      </c>
      <c r="U495" t="s">
        <v>51</v>
      </c>
      <c r="V495" t="s">
        <v>38</v>
      </c>
      <c r="W495" t="s">
        <v>1052</v>
      </c>
      <c r="X495" t="s">
        <v>59</v>
      </c>
      <c r="Y495">
        <v>9007199254741482</v>
      </c>
      <c r="Z495">
        <v>0</v>
      </c>
      <c r="AA495" t="s">
        <v>38</v>
      </c>
      <c r="AB495" t="b">
        <v>1</v>
      </c>
      <c r="AD495" s="3">
        <v>0.125</v>
      </c>
      <c r="AE495" s="2">
        <v>45915.5</v>
      </c>
      <c r="AF495" t="s">
        <v>60</v>
      </c>
    </row>
    <row r="496">
      <c r="A496" t="s">
        <v>1053</v>
      </c>
      <c r="B496" s="2">
        <v>45914.5</v>
      </c>
      <c r="C496" t="s">
        <v>49</v>
      </c>
      <c r="D496" t="s">
        <f>'客户档案'!B4</f>
        <v>50</v>
      </c>
      <c r="E496" t="s">
        <v>64</v>
      </c>
      <c r="F496" t="s">
        <v>65</v>
      </c>
      <c r="G496" t="s">
        <f>'商品目录'!B5</f>
        <v>66</v>
      </c>
      <c r="H496" t="s">
        <v>67</v>
      </c>
      <c r="I496">
        <v>2</v>
      </c>
      <c r="J496" s="4">
        <v>45</v>
      </c>
      <c r="K496" s="4">
        <f>I496*J496</f>
        <v>90</v>
      </c>
      <c r="L496" s="3">
        <v>0</v>
      </c>
      <c r="M496" s="4">
        <f>K496*L496</f>
        <v>0</v>
      </c>
      <c r="N496" s="4">
        <v>10</v>
      </c>
      <c r="O496" s="4">
        <f>K496-M496+N496</f>
        <v>100</v>
      </c>
      <c r="P496" t="s">
        <v>43</v>
      </c>
      <c r="Q496" t="b">
        <v>1</v>
      </c>
      <c r="R496" t="s">
        <v>55</v>
      </c>
      <c r="S496" t="s">
        <v>56</v>
      </c>
      <c r="T496" t="s">
        <v>57</v>
      </c>
      <c r="U496" t="s">
        <v>70</v>
      </c>
      <c r="V496" t="s">
        <v>50</v>
      </c>
      <c r="W496" t="s">
        <v>1054</v>
      </c>
      <c r="X496" t="s">
        <v>72</v>
      </c>
      <c r="Y496">
        <v>9007199254741483</v>
      </c>
      <c r="Z496">
        <v>0</v>
      </c>
      <c r="AA496" t="s">
        <v>50</v>
      </c>
      <c r="AB496" t="b">
        <v>0</v>
      </c>
      <c r="AD496" s="3">
        <v>0.125</v>
      </c>
      <c r="AE496" s="2">
        <v>45916.5</v>
      </c>
      <c r="AF496" t="s">
        <v>60</v>
      </c>
    </row>
    <row r="497">
      <c r="A497" t="s">
        <v>1055</v>
      </c>
      <c r="B497" s="2">
        <v>45915.5</v>
      </c>
      <c r="C497" t="s">
        <v>62</v>
      </c>
      <c r="D497" t="s">
        <f>'客户档案'!B5</f>
        <v>63</v>
      </c>
      <c r="E497" t="s">
        <v>74</v>
      </c>
      <c r="F497" t="s">
        <v>75</v>
      </c>
      <c r="G497" t="s">
        <f>'商品目录'!B6</f>
        <v>76</v>
      </c>
      <c r="H497" t="s">
        <v>77</v>
      </c>
      <c r="I497">
        <v>4</v>
      </c>
      <c r="J497" s="4">
        <v>8</v>
      </c>
      <c r="K497" s="4">
        <f>I497*J497</f>
        <v>32</v>
      </c>
      <c r="L497" s="3">
        <v>0.5</v>
      </c>
      <c r="M497" s="4">
        <f>K497*L497</f>
        <v>16</v>
      </c>
      <c r="N497" s="4">
        <v>20</v>
      </c>
      <c r="O497" s="4">
        <f>K497-M497+N497</f>
        <v>36</v>
      </c>
      <c r="P497" t="s">
        <v>43</v>
      </c>
      <c r="Q497" t="b">
        <v>1</v>
      </c>
      <c r="R497" t="s">
        <v>55</v>
      </c>
      <c r="S497" t="s">
        <v>68</v>
      </c>
      <c r="T497" t="s">
        <v>69</v>
      </c>
      <c r="U497" t="s">
        <v>78</v>
      </c>
      <c r="V497" t="s">
        <v>63</v>
      </c>
      <c r="W497" t="s">
        <v>1056</v>
      </c>
      <c r="X497" t="s">
        <v>80</v>
      </c>
      <c r="Y497">
        <v>9007199254741484</v>
      </c>
      <c r="Z497">
        <v>0</v>
      </c>
      <c r="AA497" t="s">
        <v>63</v>
      </c>
      <c r="AB497" t="b">
        <v>1</v>
      </c>
      <c r="AD497" s="3">
        <v>0.125</v>
      </c>
      <c r="AE497" s="2">
        <v>45917.5</v>
      </c>
      <c r="AF497" t="s">
        <v>60</v>
      </c>
    </row>
    <row r="498">
      <c r="A498" t="s">
        <v>1057</v>
      </c>
      <c r="B498" s="2">
        <v>45916.5</v>
      </c>
      <c r="C498" t="s">
        <v>37</v>
      </c>
      <c r="D498" t="s">
        <f>'客户档案'!B3</f>
        <v>38</v>
      </c>
      <c r="E498" t="s">
        <v>39</v>
      </c>
      <c r="F498" t="s">
        <v>40</v>
      </c>
      <c r="G498" t="s">
        <f>'商品目录'!B3</f>
        <v>41</v>
      </c>
      <c r="H498" t="s">
        <v>42</v>
      </c>
      <c r="I498">
        <v>6</v>
      </c>
      <c r="J498" s="4">
        <v>99</v>
      </c>
      <c r="K498" s="4">
        <f>I498*J498</f>
        <v>594</v>
      </c>
      <c r="L498" s="3">
        <v>0</v>
      </c>
      <c r="M498" s="4">
        <f>K498*L498</f>
        <v>0</v>
      </c>
      <c r="N498" s="4">
        <v>0</v>
      </c>
      <c r="O498" s="4">
        <f>K498-M498+N498</f>
        <v>594</v>
      </c>
      <c r="P498" t="s">
        <v>43</v>
      </c>
      <c r="Q498" t="b">
        <v>0</v>
      </c>
      <c r="R498" t="s">
        <v>44</v>
      </c>
      <c r="S498" t="s">
        <v>45</v>
      </c>
      <c r="T498" t="s">
        <v>46</v>
      </c>
      <c r="U498" t="s">
        <v>39</v>
      </c>
      <c r="V498" t="s">
        <v>38</v>
      </c>
      <c r="W498" t="s">
        <v>1058</v>
      </c>
      <c r="X498" t="s">
        <v>0</v>
      </c>
      <c r="Y498">
        <v>9007199254741485</v>
      </c>
      <c r="Z498">
        <v>0</v>
      </c>
      <c r="AA498" t="s">
        <v>38</v>
      </c>
      <c r="AB498" t="b">
        <v>0</v>
      </c>
      <c r="AD498" s="3">
        <v>0.125</v>
      </c>
      <c r="AE498" s="2">
        <v>45918.5</v>
      </c>
      <c r="AF498" t="s">
        <v>60</v>
      </c>
    </row>
    <row r="499">
      <c r="A499" t="s">
        <v>1059</v>
      </c>
      <c r="B499" s="2">
        <v>45917.5</v>
      </c>
      <c r="C499" t="s">
        <v>49</v>
      </c>
      <c r="D499" t="s">
        <f>'客户档案'!B4</f>
        <v>50</v>
      </c>
      <c r="E499" t="s">
        <v>51</v>
      </c>
      <c r="F499" t="s">
        <v>52</v>
      </c>
      <c r="G499" t="s">
        <f>'商品目录'!B4</f>
        <v>53</v>
      </c>
      <c r="H499" t="s">
        <v>54</v>
      </c>
      <c r="I499">
        <v>8</v>
      </c>
      <c r="J499" s="4">
        <v>129</v>
      </c>
      <c r="K499" s="4">
        <f>I499*J499</f>
        <v>1032</v>
      </c>
      <c r="L499" s="3">
        <v>0.5</v>
      </c>
      <c r="M499" s="4">
        <f>K499*L499</f>
        <v>516</v>
      </c>
      <c r="N499" s="4">
        <v>10</v>
      </c>
      <c r="O499" s="4">
        <f>K499-M499+N499</f>
        <v>526</v>
      </c>
      <c r="P499" t="s">
        <v>43</v>
      </c>
      <c r="Q499" t="b">
        <v>1</v>
      </c>
      <c r="R499" t="s">
        <v>55</v>
      </c>
      <c r="S499" t="s">
        <v>56</v>
      </c>
      <c r="T499" t="s">
        <v>57</v>
      </c>
      <c r="U499" t="s">
        <v>51</v>
      </c>
      <c r="V499" t="s">
        <v>50</v>
      </c>
      <c r="W499" t="s">
        <v>1060</v>
      </c>
      <c r="X499" t="s">
        <v>59</v>
      </c>
      <c r="Y499">
        <v>9007199254741486</v>
      </c>
      <c r="Z499">
        <v>2</v>
      </c>
      <c r="AA499" t="s">
        <v>50</v>
      </c>
      <c r="AB499" t="b">
        <v>1</v>
      </c>
      <c r="AD499" s="3">
        <v>0.125</v>
      </c>
      <c r="AE499" s="2">
        <v>45919.5</v>
      </c>
      <c r="AF499" t="s">
        <v>60</v>
      </c>
    </row>
    <row r="500">
      <c r="A500" t="s">
        <v>1061</v>
      </c>
      <c r="B500" s="2">
        <v>45918.5</v>
      </c>
      <c r="C500" t="s">
        <v>62</v>
      </c>
      <c r="D500" t="s">
        <f>'客户档案'!B5</f>
        <v>63</v>
      </c>
      <c r="E500" t="s">
        <v>64</v>
      </c>
      <c r="F500" t="s">
        <v>65</v>
      </c>
      <c r="G500" t="s">
        <f>'商品目录'!B5</f>
        <v>66</v>
      </c>
      <c r="H500" t="s">
        <v>67</v>
      </c>
      <c r="I500">
        <v>10</v>
      </c>
      <c r="J500" s="4">
        <v>45</v>
      </c>
      <c r="K500" s="4">
        <f>I500*J500</f>
        <v>450</v>
      </c>
      <c r="L500" s="3">
        <v>0</v>
      </c>
      <c r="M500" s="4">
        <f>K500*L500</f>
        <v>0</v>
      </c>
      <c r="N500" s="4">
        <v>20</v>
      </c>
      <c r="O500" s="4">
        <f>K500-M500+N500</f>
        <v>470</v>
      </c>
      <c r="P500" t="s">
        <v>43</v>
      </c>
      <c r="Q500" t="b">
        <v>1</v>
      </c>
      <c r="R500" t="s">
        <v>55</v>
      </c>
      <c r="S500" t="s">
        <v>68</v>
      </c>
      <c r="T500" t="s">
        <v>69</v>
      </c>
      <c r="U500" t="s">
        <v>70</v>
      </c>
      <c r="V500" t="s">
        <v>63</v>
      </c>
      <c r="W500" t="s">
        <v>1062</v>
      </c>
      <c r="X500" t="s">
        <v>72</v>
      </c>
      <c r="Y500">
        <v>9007199254741487</v>
      </c>
      <c r="Z500">
        <v>0</v>
      </c>
      <c r="AA500" t="s">
        <v>63</v>
      </c>
      <c r="AB500" t="b">
        <v>0</v>
      </c>
      <c r="AD500" s="3">
        <v>0.125</v>
      </c>
      <c r="AE500" s="2">
        <v>45920.5</v>
      </c>
      <c r="AF500" t="s">
        <v>60</v>
      </c>
    </row>
    <row r="501">
      <c r="A501" t="s">
        <v>1063</v>
      </c>
      <c r="B501" s="2">
        <v>45919.5</v>
      </c>
      <c r="C501" t="s">
        <v>37</v>
      </c>
      <c r="D501" t="s">
        <f>'客户档案'!B3</f>
        <v>38</v>
      </c>
      <c r="E501" t="s">
        <v>74</v>
      </c>
      <c r="F501" t="s">
        <v>75</v>
      </c>
      <c r="G501" t="s">
        <f>'商品目录'!B6</f>
        <v>76</v>
      </c>
      <c r="H501" t="s">
        <v>77</v>
      </c>
      <c r="I501">
        <v>2</v>
      </c>
      <c r="J501" s="4">
        <v>8</v>
      </c>
      <c r="K501" s="4">
        <f>I501*J501</f>
        <v>16</v>
      </c>
      <c r="L501" s="3">
        <v>0.5</v>
      </c>
      <c r="M501" s="4">
        <f>K501*L501</f>
        <v>8</v>
      </c>
      <c r="N501" s="4">
        <v>0</v>
      </c>
      <c r="O501" s="4">
        <f>K501-M501+N501</f>
        <v>8</v>
      </c>
      <c r="P501" t="s">
        <v>43</v>
      </c>
      <c r="Q501" t="b">
        <v>1</v>
      </c>
      <c r="R501" t="s">
        <v>55</v>
      </c>
      <c r="S501" t="s">
        <v>45</v>
      </c>
      <c r="T501" t="s">
        <v>46</v>
      </c>
      <c r="U501" t="s">
        <v>78</v>
      </c>
      <c r="V501" t="s">
        <v>38</v>
      </c>
      <c r="W501" t="s">
        <v>1064</v>
      </c>
      <c r="X501" t="s">
        <v>80</v>
      </c>
      <c r="Y501">
        <v>9007199254741488</v>
      </c>
      <c r="Z501">
        <v>0</v>
      </c>
      <c r="AA501" t="s">
        <v>38</v>
      </c>
      <c r="AB501" t="b">
        <v>1</v>
      </c>
      <c r="AD501" s="3">
        <v>0.125</v>
      </c>
      <c r="AE501" s="2">
        <v>45921.5</v>
      </c>
      <c r="AF501" t="s">
        <v>60</v>
      </c>
    </row>
    <row r="502">
      <c r="A502" t="s">
        <v>1065</v>
      </c>
      <c r="B502" s="2">
        <v>45920.5</v>
      </c>
      <c r="C502" t="s">
        <v>49</v>
      </c>
      <c r="D502" t="s">
        <f>'客户档案'!B4</f>
        <v>50</v>
      </c>
      <c r="E502" t="s">
        <v>39</v>
      </c>
      <c r="F502" t="s">
        <v>40</v>
      </c>
      <c r="G502" t="s">
        <f>'商品目录'!B3</f>
        <v>41</v>
      </c>
      <c r="H502" t="s">
        <v>42</v>
      </c>
      <c r="I502">
        <v>4</v>
      </c>
      <c r="J502" s="4">
        <v>99</v>
      </c>
      <c r="K502" s="4">
        <f>I502*J502</f>
        <v>396</v>
      </c>
      <c r="L502" s="3">
        <v>0</v>
      </c>
      <c r="M502" s="4">
        <f>K502*L502</f>
        <v>0</v>
      </c>
      <c r="N502" s="4">
        <v>10</v>
      </c>
      <c r="O502" s="4">
        <f>K502-M502+N502</f>
        <v>406</v>
      </c>
      <c r="P502" t="s">
        <v>43</v>
      </c>
      <c r="Q502" t="b">
        <v>0</v>
      </c>
      <c r="R502" t="s">
        <v>44</v>
      </c>
      <c r="S502" t="s">
        <v>56</v>
      </c>
      <c r="T502" t="s">
        <v>57</v>
      </c>
      <c r="U502" t="s">
        <v>39</v>
      </c>
      <c r="V502" t="s">
        <v>50</v>
      </c>
      <c r="W502" t="s">
        <v>1066</v>
      </c>
      <c r="X502" t="s">
        <v>0</v>
      </c>
      <c r="Y502">
        <v>9007199254741489</v>
      </c>
      <c r="Z502">
        <v>0</v>
      </c>
      <c r="AA502" t="s">
        <v>50</v>
      </c>
      <c r="AB502" t="b">
        <v>0</v>
      </c>
      <c r="AD502" s="3">
        <v>0.125</v>
      </c>
      <c r="AE502" s="2">
        <v>45922.5</v>
      </c>
      <c r="AF502" t="s">
        <v>60</v>
      </c>
    </row>
    <row r="503">
      <c r="A503" t="s">
        <v>1067</v>
      </c>
      <c r="B503" s="2">
        <v>45921.5</v>
      </c>
      <c r="C503" t="s">
        <v>62</v>
      </c>
      <c r="D503" t="s">
        <f>'客户档案'!B5</f>
        <v>63</v>
      </c>
      <c r="E503" t="s">
        <v>51</v>
      </c>
      <c r="F503" t="s">
        <v>52</v>
      </c>
      <c r="G503" t="s">
        <f>'商品目录'!B4</f>
        <v>53</v>
      </c>
      <c r="H503" t="s">
        <v>54</v>
      </c>
      <c r="I503">
        <v>6</v>
      </c>
      <c r="J503" s="4">
        <v>129</v>
      </c>
      <c r="K503" s="4">
        <f>I503*J503</f>
        <v>774</v>
      </c>
      <c r="L503" s="3">
        <v>0.5</v>
      </c>
      <c r="M503" s="4">
        <f>K503*L503</f>
        <v>387</v>
      </c>
      <c r="N503" s="4">
        <v>20</v>
      </c>
      <c r="O503" s="4">
        <f>K503-M503+N503</f>
        <v>407</v>
      </c>
      <c r="P503" t="s">
        <v>43</v>
      </c>
      <c r="Q503" t="b">
        <v>1</v>
      </c>
      <c r="R503" t="s">
        <v>55</v>
      </c>
      <c r="S503" t="s">
        <v>68</v>
      </c>
      <c r="T503" t="s">
        <v>69</v>
      </c>
      <c r="U503" t="s">
        <v>51</v>
      </c>
      <c r="V503" t="s">
        <v>63</v>
      </c>
      <c r="W503" t="s">
        <v>1068</v>
      </c>
      <c r="X503" t="s">
        <v>59</v>
      </c>
      <c r="Y503">
        <v>9007199254741490</v>
      </c>
      <c r="Z503">
        <v>0</v>
      </c>
      <c r="AA503" t="s">
        <v>63</v>
      </c>
      <c r="AB503" t="b">
        <v>1</v>
      </c>
      <c r="AD503" s="3">
        <v>0.125</v>
      </c>
      <c r="AE503" s="2">
        <v>45923.5</v>
      </c>
      <c r="AF503" t="s">
        <v>60</v>
      </c>
    </row>
    <row r="504">
      <c r="A504" t="s">
        <v>1069</v>
      </c>
      <c r="B504" s="2">
        <v>45922.5</v>
      </c>
      <c r="C504" t="s">
        <v>37</v>
      </c>
      <c r="D504" t="s">
        <f>'客户档案'!B3</f>
        <v>38</v>
      </c>
      <c r="E504" t="s">
        <v>64</v>
      </c>
      <c r="F504" t="s">
        <v>65</v>
      </c>
      <c r="G504" t="s">
        <f>'商品目录'!B5</f>
        <v>66</v>
      </c>
      <c r="H504" t="s">
        <v>67</v>
      </c>
      <c r="I504">
        <v>8</v>
      </c>
      <c r="J504" s="4">
        <v>45</v>
      </c>
      <c r="K504" s="4">
        <f>I504*J504</f>
        <v>360</v>
      </c>
      <c r="L504" s="3">
        <v>0</v>
      </c>
      <c r="M504" s="4">
        <f>K504*L504</f>
        <v>0</v>
      </c>
      <c r="N504" s="4">
        <v>0</v>
      </c>
      <c r="O504" s="4">
        <f>K504-M504+N504</f>
        <v>360</v>
      </c>
      <c r="P504" t="s">
        <v>43</v>
      </c>
      <c r="Q504" t="b">
        <v>1</v>
      </c>
      <c r="R504" t="s">
        <v>55</v>
      </c>
      <c r="S504" t="s">
        <v>45</v>
      </c>
      <c r="T504" t="s">
        <v>46</v>
      </c>
      <c r="U504" t="s">
        <v>70</v>
      </c>
      <c r="V504" t="s">
        <v>38</v>
      </c>
      <c r="W504" t="s">
        <v>1070</v>
      </c>
      <c r="X504" t="s">
        <v>72</v>
      </c>
      <c r="Y504">
        <v>9007199254741491</v>
      </c>
      <c r="Z504">
        <v>0</v>
      </c>
      <c r="AA504" t="s">
        <v>38</v>
      </c>
      <c r="AB504" t="b">
        <v>0</v>
      </c>
      <c r="AD504" s="3">
        <v>0.125</v>
      </c>
      <c r="AE504" s="2">
        <v>45924.5</v>
      </c>
      <c r="AF504" t="s">
        <v>60</v>
      </c>
    </row>
    <row r="505">
      <c r="A505" t="s">
        <v>1071</v>
      </c>
      <c r="B505" s="2">
        <v>45923.5</v>
      </c>
      <c r="C505" t="s">
        <v>49</v>
      </c>
      <c r="D505" t="s">
        <f>'客户档案'!B4</f>
        <v>50</v>
      </c>
      <c r="E505" t="s">
        <v>74</v>
      </c>
      <c r="F505" t="s">
        <v>75</v>
      </c>
      <c r="G505" t="s">
        <f>'商品目录'!B6</f>
        <v>76</v>
      </c>
      <c r="H505" t="s">
        <v>77</v>
      </c>
      <c r="I505">
        <v>10</v>
      </c>
      <c r="J505" s="4">
        <v>8</v>
      </c>
      <c r="K505" s="4">
        <f>I505*J505</f>
        <v>80</v>
      </c>
      <c r="L505" s="3">
        <v>0.5</v>
      </c>
      <c r="M505" s="4">
        <f>K505*L505</f>
        <v>40</v>
      </c>
      <c r="N505" s="4">
        <v>10</v>
      </c>
      <c r="O505" s="4">
        <f>K505-M505+N505</f>
        <v>50</v>
      </c>
      <c r="P505" t="s">
        <v>43</v>
      </c>
      <c r="Q505" t="b">
        <v>1</v>
      </c>
      <c r="R505" t="s">
        <v>55</v>
      </c>
      <c r="S505" t="s">
        <v>56</v>
      </c>
      <c r="T505" t="s">
        <v>57</v>
      </c>
      <c r="U505" t="s">
        <v>78</v>
      </c>
      <c r="V505" t="s">
        <v>50</v>
      </c>
      <c r="W505" t="s">
        <v>1072</v>
      </c>
      <c r="X505" t="s">
        <v>80</v>
      </c>
      <c r="Y505">
        <v>9007199254741492</v>
      </c>
      <c r="Z505">
        <v>0</v>
      </c>
      <c r="AA505" t="s">
        <v>50</v>
      </c>
      <c r="AB505" t="b">
        <v>1</v>
      </c>
      <c r="AD505" s="3">
        <v>0.125</v>
      </c>
      <c r="AE505" s="2">
        <v>45925.5</v>
      </c>
      <c r="AF505" t="s">
        <v>60</v>
      </c>
    </row>
    <row r="506">
      <c r="A506" t="s">
        <v>1073</v>
      </c>
      <c r="B506" s="2">
        <v>45924.5</v>
      </c>
      <c r="C506" t="s">
        <v>62</v>
      </c>
      <c r="D506" t="s">
        <f>'客户档案'!B5</f>
        <v>63</v>
      </c>
      <c r="E506" t="s">
        <v>39</v>
      </c>
      <c r="F506" t="s">
        <v>40</v>
      </c>
      <c r="G506" t="s">
        <f>'商品目录'!B3</f>
        <v>41</v>
      </c>
      <c r="H506" t="s">
        <v>42</v>
      </c>
      <c r="I506">
        <v>2</v>
      </c>
      <c r="J506" s="4">
        <v>99</v>
      </c>
      <c r="K506" s="4">
        <f>I506*J506</f>
        <v>198</v>
      </c>
      <c r="L506" s="3">
        <v>0</v>
      </c>
      <c r="M506" s="4">
        <f>K506*L506</f>
        <v>0</v>
      </c>
      <c r="N506" s="4">
        <v>20</v>
      </c>
      <c r="O506" s="4">
        <f>K506-M506+N506</f>
        <v>218</v>
      </c>
      <c r="P506" t="s">
        <v>43</v>
      </c>
      <c r="Q506" t="b">
        <v>0</v>
      </c>
      <c r="R506" t="s">
        <v>44</v>
      </c>
      <c r="S506" t="s">
        <v>68</v>
      </c>
      <c r="T506" t="s">
        <v>69</v>
      </c>
      <c r="U506" t="s">
        <v>39</v>
      </c>
      <c r="V506" t="s">
        <v>63</v>
      </c>
      <c r="W506" t="s">
        <v>1074</v>
      </c>
      <c r="X506" t="s">
        <v>0</v>
      </c>
      <c r="Y506">
        <v>9007199254741493</v>
      </c>
      <c r="Z506">
        <v>0</v>
      </c>
      <c r="AA506" t="s">
        <v>63</v>
      </c>
      <c r="AB506" t="b">
        <v>0</v>
      </c>
      <c r="AD506" s="3">
        <v>0.125</v>
      </c>
      <c r="AE506" s="2">
        <v>45926.5</v>
      </c>
      <c r="AF506" t="s">
        <v>60</v>
      </c>
    </row>
    <row r="507">
      <c r="A507" t="s">
        <v>1075</v>
      </c>
      <c r="B507" s="2">
        <v>45925.5</v>
      </c>
      <c r="C507" t="s">
        <v>37</v>
      </c>
      <c r="D507" t="s">
        <f>'客户档案'!B3</f>
        <v>38</v>
      </c>
      <c r="E507" t="s">
        <v>51</v>
      </c>
      <c r="F507" t="s">
        <v>52</v>
      </c>
      <c r="G507" t="s">
        <f>'商品目录'!B4</f>
        <v>53</v>
      </c>
      <c r="H507" t="s">
        <v>54</v>
      </c>
      <c r="I507">
        <v>4</v>
      </c>
      <c r="J507" s="4">
        <v>129</v>
      </c>
      <c r="K507" s="4">
        <f>I507*J507</f>
        <v>516</v>
      </c>
      <c r="L507" s="3">
        <v>0.5</v>
      </c>
      <c r="M507" s="4">
        <f>K507*L507</f>
        <v>258</v>
      </c>
      <c r="N507" s="4">
        <v>0</v>
      </c>
      <c r="O507" s="4">
        <f>K507-M507+N507</f>
        <v>258</v>
      </c>
      <c r="P507" t="s">
        <v>43</v>
      </c>
      <c r="Q507" t="b">
        <v>1</v>
      </c>
      <c r="R507" t="s">
        <v>55</v>
      </c>
      <c r="S507" t="s">
        <v>45</v>
      </c>
      <c r="T507" t="s">
        <v>46</v>
      </c>
      <c r="U507" t="s">
        <v>51</v>
      </c>
      <c r="V507" t="s">
        <v>38</v>
      </c>
      <c r="W507" t="s">
        <v>1076</v>
      </c>
      <c r="X507" t="s">
        <v>59</v>
      </c>
      <c r="Y507">
        <v>9007199254741494</v>
      </c>
      <c r="Z507">
        <v>0</v>
      </c>
      <c r="AA507" t="s">
        <v>38</v>
      </c>
      <c r="AB507" t="b">
        <v>1</v>
      </c>
      <c r="AD507" s="3">
        <v>0.125</v>
      </c>
      <c r="AE507" s="2">
        <v>45927.5</v>
      </c>
      <c r="AF507" t="s">
        <v>60</v>
      </c>
    </row>
    <row r="508">
      <c r="A508" t="s">
        <v>1077</v>
      </c>
      <c r="B508" s="2">
        <v>45926.5</v>
      </c>
      <c r="C508" t="s">
        <v>49</v>
      </c>
      <c r="D508" t="s">
        <f>'客户档案'!B4</f>
        <v>50</v>
      </c>
      <c r="E508" t="s">
        <v>64</v>
      </c>
      <c r="F508" t="s">
        <v>65</v>
      </c>
      <c r="G508" t="s">
        <f>'商品目录'!B5</f>
        <v>66</v>
      </c>
      <c r="H508" t="s">
        <v>67</v>
      </c>
      <c r="I508">
        <v>6</v>
      </c>
      <c r="J508" s="4">
        <v>45</v>
      </c>
      <c r="K508" s="4">
        <f>I508*J508</f>
        <v>270</v>
      </c>
      <c r="L508" s="3">
        <v>0</v>
      </c>
      <c r="M508" s="4">
        <f>K508*L508</f>
        <v>0</v>
      </c>
      <c r="N508" s="4">
        <v>10</v>
      </c>
      <c r="O508" s="4">
        <f>K508-M508+N508</f>
        <v>280</v>
      </c>
      <c r="P508" t="s">
        <v>43</v>
      </c>
      <c r="Q508" t="b">
        <v>1</v>
      </c>
      <c r="R508" t="s">
        <v>55</v>
      </c>
      <c r="S508" t="s">
        <v>56</v>
      </c>
      <c r="T508" t="s">
        <v>57</v>
      </c>
      <c r="U508" t="s">
        <v>70</v>
      </c>
      <c r="V508" t="s">
        <v>50</v>
      </c>
      <c r="W508" t="s">
        <v>1078</v>
      </c>
      <c r="X508" t="s">
        <v>72</v>
      </c>
      <c r="Y508">
        <v>9007199254741495</v>
      </c>
      <c r="Z508">
        <v>0</v>
      </c>
      <c r="AA508" t="s">
        <v>50</v>
      </c>
      <c r="AB508" t="b">
        <v>0</v>
      </c>
      <c r="AD508" s="3">
        <v>0.125</v>
      </c>
      <c r="AE508" s="2">
        <v>45928.5</v>
      </c>
      <c r="AF508" t="s">
        <v>60</v>
      </c>
    </row>
    <row r="509">
      <c r="A509" t="s">
        <v>1079</v>
      </c>
      <c r="B509" s="2">
        <v>45927.5</v>
      </c>
      <c r="C509" t="s">
        <v>62</v>
      </c>
      <c r="D509" t="s">
        <f>'客户档案'!B5</f>
        <v>63</v>
      </c>
      <c r="E509" t="s">
        <v>74</v>
      </c>
      <c r="F509" t="s">
        <v>75</v>
      </c>
      <c r="G509" t="s">
        <f>'商品目录'!B6</f>
        <v>76</v>
      </c>
      <c r="H509" t="s">
        <v>77</v>
      </c>
      <c r="I509">
        <v>8</v>
      </c>
      <c r="J509" s="4">
        <v>8</v>
      </c>
      <c r="K509" s="4">
        <f>I509*J509</f>
        <v>64</v>
      </c>
      <c r="L509" s="3">
        <v>0.5</v>
      </c>
      <c r="M509" s="4">
        <f>K509*L509</f>
        <v>32</v>
      </c>
      <c r="N509" s="4">
        <v>20</v>
      </c>
      <c r="O509" s="4">
        <f>K509-M509+N509</f>
        <v>52</v>
      </c>
      <c r="P509" t="s">
        <v>43</v>
      </c>
      <c r="Q509" t="b">
        <v>1</v>
      </c>
      <c r="R509" t="s">
        <v>55</v>
      </c>
      <c r="S509" t="s">
        <v>68</v>
      </c>
      <c r="T509" t="s">
        <v>69</v>
      </c>
      <c r="U509" t="s">
        <v>78</v>
      </c>
      <c r="V509" t="s">
        <v>63</v>
      </c>
      <c r="W509" t="s">
        <v>1080</v>
      </c>
      <c r="X509" t="s">
        <v>80</v>
      </c>
      <c r="Y509">
        <v>9007199254741496</v>
      </c>
      <c r="Z509">
        <v>0</v>
      </c>
      <c r="AA509" t="s">
        <v>63</v>
      </c>
      <c r="AB509" t="b">
        <v>1</v>
      </c>
      <c r="AD509" s="3">
        <v>0.125</v>
      </c>
      <c r="AE509" s="2">
        <v>45929.5</v>
      </c>
      <c r="AF509" t="s">
        <v>60</v>
      </c>
    </row>
    <row r="510">
      <c r="A510" t="s">
        <v>1081</v>
      </c>
      <c r="B510" s="2">
        <v>45900.5</v>
      </c>
      <c r="C510" t="s">
        <v>37</v>
      </c>
      <c r="D510" t="s">
        <f>'客户档案'!B3</f>
        <v>38</v>
      </c>
      <c r="E510" t="s">
        <v>39</v>
      </c>
      <c r="F510" t="s">
        <v>40</v>
      </c>
      <c r="G510" t="s">
        <f>'商品目录'!B3</f>
        <v>41</v>
      </c>
      <c r="H510" t="s">
        <v>42</v>
      </c>
      <c r="I510">
        <v>10</v>
      </c>
      <c r="J510" s="4">
        <v>99</v>
      </c>
      <c r="K510" s="4">
        <f>I510*J510</f>
        <v>990</v>
      </c>
      <c r="L510" s="3">
        <v>0</v>
      </c>
      <c r="M510" s="4">
        <f>K510*L510</f>
        <v>0</v>
      </c>
      <c r="N510" s="4">
        <v>0</v>
      </c>
      <c r="O510" s="4">
        <f>K510-M510+N510</f>
        <v>990</v>
      </c>
      <c r="P510" t="s">
        <v>43</v>
      </c>
      <c r="Q510" t="b">
        <v>0</v>
      </c>
      <c r="R510" t="s">
        <v>44</v>
      </c>
      <c r="S510" t="s">
        <v>45</v>
      </c>
      <c r="T510" t="s">
        <v>46</v>
      </c>
      <c r="U510" t="s">
        <v>39</v>
      </c>
      <c r="V510" t="s">
        <v>38</v>
      </c>
      <c r="W510" t="s">
        <v>1082</v>
      </c>
      <c r="X510" t="s">
        <v>0</v>
      </c>
      <c r="Y510">
        <v>9007199254741497</v>
      </c>
      <c r="Z510">
        <v>0</v>
      </c>
      <c r="AA510" t="s">
        <v>38</v>
      </c>
      <c r="AB510" t="b">
        <v>0</v>
      </c>
      <c r="AD510" s="3">
        <v>0.125</v>
      </c>
      <c r="AE510" s="2">
        <v>45902.5</v>
      </c>
      <c r="AF510" t="s">
        <v>60</v>
      </c>
    </row>
    <row r="511">
      <c r="A511" t="s">
        <v>1083</v>
      </c>
      <c r="B511" s="2">
        <v>45901.5</v>
      </c>
      <c r="C511" t="s">
        <v>49</v>
      </c>
      <c r="D511" t="s">
        <f>'客户档案'!B4</f>
        <v>50</v>
      </c>
      <c r="E511" t="s">
        <v>51</v>
      </c>
      <c r="F511" t="s">
        <v>52</v>
      </c>
      <c r="G511" t="s">
        <f>'商品目录'!B4</f>
        <v>53</v>
      </c>
      <c r="H511" t="s">
        <v>54</v>
      </c>
      <c r="I511">
        <v>2</v>
      </c>
      <c r="J511" s="4">
        <v>129</v>
      </c>
      <c r="K511" s="4">
        <f>I511*J511</f>
        <v>258</v>
      </c>
      <c r="L511" s="3">
        <v>0.5</v>
      </c>
      <c r="M511" s="4">
        <f>K511*L511</f>
        <v>129</v>
      </c>
      <c r="N511" s="4">
        <v>10</v>
      </c>
      <c r="O511" s="4">
        <f>K511-M511+N511</f>
        <v>139</v>
      </c>
      <c r="P511" t="s">
        <v>43</v>
      </c>
      <c r="Q511" t="b">
        <v>1</v>
      </c>
      <c r="R511" t="s">
        <v>55</v>
      </c>
      <c r="S511" t="s">
        <v>56</v>
      </c>
      <c r="T511" t="s">
        <v>57</v>
      </c>
      <c r="U511" t="s">
        <v>51</v>
      </c>
      <c r="V511" t="s">
        <v>50</v>
      </c>
      <c r="W511" t="s">
        <v>1084</v>
      </c>
      <c r="X511" t="s">
        <v>59</v>
      </c>
      <c r="Y511">
        <v>9007199254741498</v>
      </c>
      <c r="Z511">
        <v>0</v>
      </c>
      <c r="AA511" t="s">
        <v>50</v>
      </c>
      <c r="AB511" t="b">
        <v>1</v>
      </c>
      <c r="AD511" s="3">
        <v>0.125</v>
      </c>
      <c r="AE511" s="2">
        <v>45903.5</v>
      </c>
      <c r="AF511" t="e">
        <v>#N/A</v>
      </c>
    </row>
    <row r="512">
      <c r="A512" t="s">
        <v>1085</v>
      </c>
      <c r="B512" s="2">
        <v>45902.5</v>
      </c>
      <c r="C512" t="s">
        <v>62</v>
      </c>
      <c r="D512" t="s">
        <f>'客户档案'!B5</f>
        <v>63</v>
      </c>
      <c r="E512" t="s">
        <v>64</v>
      </c>
      <c r="F512" t="s">
        <v>65</v>
      </c>
      <c r="G512" t="s">
        <f>'商品目录'!B5</f>
        <v>66</v>
      </c>
      <c r="H512" t="s">
        <v>67</v>
      </c>
      <c r="I512">
        <v>4</v>
      </c>
      <c r="J512" s="4">
        <v>45</v>
      </c>
      <c r="K512" s="4">
        <f>I512*J512</f>
        <v>180</v>
      </c>
      <c r="L512" s="3">
        <v>0</v>
      </c>
      <c r="M512" s="4">
        <f>K512*L512</f>
        <v>0</v>
      </c>
      <c r="N512" s="4">
        <v>20</v>
      </c>
      <c r="O512" s="4">
        <f>K512-M512+N512</f>
        <v>200</v>
      </c>
      <c r="P512" t="s">
        <v>43</v>
      </c>
      <c r="Q512" t="b">
        <v>1</v>
      </c>
      <c r="R512" t="s">
        <v>55</v>
      </c>
      <c r="S512" t="s">
        <v>68</v>
      </c>
      <c r="T512" t="s">
        <v>69</v>
      </c>
      <c r="U512" t="s">
        <v>70</v>
      </c>
      <c r="V512" t="s">
        <v>63</v>
      </c>
      <c r="W512" t="s">
        <v>1086</v>
      </c>
      <c r="X512" t="s">
        <v>72</v>
      </c>
      <c r="Y512">
        <v>9007199254741499</v>
      </c>
      <c r="Z512">
        <v>0</v>
      </c>
      <c r="AA512" t="s">
        <v>63</v>
      </c>
      <c r="AB512" t="b">
        <v>0</v>
      </c>
      <c r="AD512" s="3">
        <v>0.125</v>
      </c>
      <c r="AE512" s="2">
        <v>45904.5</v>
      </c>
      <c r="AF512" t="s">
        <v>60</v>
      </c>
    </row>
    <row r="513">
      <c r="A513" t="s">
        <v>1087</v>
      </c>
      <c r="B513" s="2">
        <v>45903.5</v>
      </c>
      <c r="C513" t="s">
        <v>37</v>
      </c>
      <c r="D513" t="s">
        <f>'客户档案'!B3</f>
        <v>38</v>
      </c>
      <c r="E513" t="s">
        <v>74</v>
      </c>
      <c r="F513" t="s">
        <v>75</v>
      </c>
      <c r="G513" t="s">
        <f>'商品目录'!B6</f>
        <v>76</v>
      </c>
      <c r="H513" t="s">
        <v>77</v>
      </c>
      <c r="I513">
        <v>6</v>
      </c>
      <c r="J513" s="4">
        <v>8</v>
      </c>
      <c r="K513" s="4">
        <f>I513*J513</f>
        <v>48</v>
      </c>
      <c r="L513" s="3">
        <v>0.5</v>
      </c>
      <c r="M513" s="4">
        <f>K513*L513</f>
        <v>24</v>
      </c>
      <c r="N513" s="4">
        <v>0</v>
      </c>
      <c r="O513" s="4">
        <f>K513-M513+N513</f>
        <v>24</v>
      </c>
      <c r="P513" t="s">
        <v>43</v>
      </c>
      <c r="Q513" t="b">
        <v>1</v>
      </c>
      <c r="R513" t="s">
        <v>55</v>
      </c>
      <c r="S513" t="s">
        <v>45</v>
      </c>
      <c r="T513" t="s">
        <v>46</v>
      </c>
      <c r="U513" t="s">
        <v>78</v>
      </c>
      <c r="V513" t="s">
        <v>38</v>
      </c>
      <c r="W513" t="s">
        <v>1088</v>
      </c>
      <c r="X513" t="s">
        <v>80</v>
      </c>
      <c r="Y513">
        <v>9007199254741500</v>
      </c>
      <c r="Z513">
        <v>0</v>
      </c>
      <c r="AA513" t="s">
        <v>38</v>
      </c>
      <c r="AB513" t="b">
        <v>1</v>
      </c>
      <c r="AD513" s="3">
        <v>0.125</v>
      </c>
      <c r="AE513" s="2">
        <v>45905.5</v>
      </c>
      <c r="AF513" t="s">
        <v>60</v>
      </c>
    </row>
    <row r="514">
      <c r="A514" t="s">
        <v>1089</v>
      </c>
      <c r="B514" s="2">
        <v>45904.5</v>
      </c>
      <c r="C514" t="s">
        <v>49</v>
      </c>
      <c r="D514" t="s">
        <f>'客户档案'!B4</f>
        <v>50</v>
      </c>
      <c r="E514" t="s">
        <v>39</v>
      </c>
      <c r="F514" t="s">
        <v>40</v>
      </c>
      <c r="G514" t="s">
        <f>'商品目录'!B3</f>
        <v>41</v>
      </c>
      <c r="H514" t="s">
        <v>42</v>
      </c>
      <c r="I514">
        <v>8</v>
      </c>
      <c r="J514" s="4">
        <v>99</v>
      </c>
      <c r="K514" s="4">
        <f>I514*J514</f>
        <v>792</v>
      </c>
      <c r="L514" s="3">
        <v>0</v>
      </c>
      <c r="M514" s="4">
        <f>K514*L514</f>
        <v>0</v>
      </c>
      <c r="N514" s="4">
        <v>10</v>
      </c>
      <c r="O514" s="4">
        <f>K514-M514+N514</f>
        <v>802</v>
      </c>
      <c r="P514" t="s">
        <v>43</v>
      </c>
      <c r="Q514" t="b">
        <v>0</v>
      </c>
      <c r="R514" t="s">
        <v>44</v>
      </c>
      <c r="S514" t="s">
        <v>56</v>
      </c>
      <c r="T514" t="s">
        <v>57</v>
      </c>
      <c r="U514" t="s">
        <v>39</v>
      </c>
      <c r="V514" t="s">
        <v>50</v>
      </c>
      <c r="W514" t="s">
        <v>1090</v>
      </c>
      <c r="X514" t="s">
        <v>0</v>
      </c>
      <c r="Y514">
        <v>9007199254741501</v>
      </c>
      <c r="Z514">
        <v>0</v>
      </c>
      <c r="AA514" t="s">
        <v>50</v>
      </c>
      <c r="AB514" t="b">
        <v>0</v>
      </c>
      <c r="AD514" s="3">
        <v>0.125</v>
      </c>
      <c r="AE514" s="2">
        <v>45906.5</v>
      </c>
      <c r="AF514" t="s">
        <v>60</v>
      </c>
    </row>
    <row r="515">
      <c r="A515" t="s">
        <v>1091</v>
      </c>
      <c r="B515" s="2">
        <v>45905.5</v>
      </c>
      <c r="C515" t="s">
        <v>62</v>
      </c>
      <c r="D515" t="s">
        <f>'客户档案'!B5</f>
        <v>63</v>
      </c>
      <c r="E515" t="s">
        <v>51</v>
      </c>
      <c r="F515" t="s">
        <v>52</v>
      </c>
      <c r="G515" t="s">
        <f>'商品目录'!B4</f>
        <v>53</v>
      </c>
      <c r="H515" t="s">
        <v>54</v>
      </c>
      <c r="I515">
        <v>10</v>
      </c>
      <c r="J515" s="4">
        <v>129</v>
      </c>
      <c r="K515" s="4">
        <f>I515*J515</f>
        <v>1290</v>
      </c>
      <c r="L515" s="3">
        <v>0.5</v>
      </c>
      <c r="M515" s="4">
        <f>K515*L515</f>
        <v>645</v>
      </c>
      <c r="N515" s="4">
        <v>20</v>
      </c>
      <c r="O515" s="4">
        <f>K515-M515+N515</f>
        <v>665</v>
      </c>
      <c r="P515" t="s">
        <v>43</v>
      </c>
      <c r="Q515" t="b">
        <v>1</v>
      </c>
      <c r="R515" t="s">
        <v>55</v>
      </c>
      <c r="S515" t="s">
        <v>68</v>
      </c>
      <c r="T515" t="s">
        <v>69</v>
      </c>
      <c r="U515" t="s">
        <v>51</v>
      </c>
      <c r="V515" t="s">
        <v>63</v>
      </c>
      <c r="W515" t="s">
        <v>1092</v>
      </c>
      <c r="X515" t="s">
        <v>59</v>
      </c>
      <c r="Y515">
        <v>9007199254741502</v>
      </c>
      <c r="Z515">
        <v>0</v>
      </c>
      <c r="AA515" t="s">
        <v>63</v>
      </c>
      <c r="AB515" t="b">
        <v>1</v>
      </c>
      <c r="AD515" s="3">
        <v>0.125</v>
      </c>
      <c r="AE515" s="2">
        <v>45907.5</v>
      </c>
      <c r="AF515" t="s">
        <v>60</v>
      </c>
    </row>
    <row r="516">
      <c r="A516" t="s">
        <v>1093</v>
      </c>
      <c r="B516" s="2">
        <v>45906.5</v>
      </c>
      <c r="C516" t="s">
        <v>37</v>
      </c>
      <c r="D516" t="s">
        <f>'客户档案'!B3</f>
        <v>38</v>
      </c>
      <c r="E516" t="s">
        <v>64</v>
      </c>
      <c r="F516" t="s">
        <v>65</v>
      </c>
      <c r="G516" t="s">
        <f>'商品目录'!B5</f>
        <v>66</v>
      </c>
      <c r="H516" t="s">
        <v>67</v>
      </c>
      <c r="I516">
        <v>2</v>
      </c>
      <c r="J516" s="4">
        <v>45</v>
      </c>
      <c r="K516" s="4">
        <f>I516*J516</f>
        <v>90</v>
      </c>
      <c r="L516" s="3">
        <v>0</v>
      </c>
      <c r="M516" s="4">
        <f>K516*L516</f>
        <v>0</v>
      </c>
      <c r="N516" s="4">
        <v>0</v>
      </c>
      <c r="O516" s="4">
        <f>K516-M516+N516</f>
        <v>90</v>
      </c>
      <c r="P516" t="s">
        <v>43</v>
      </c>
      <c r="Q516" t="b">
        <v>1</v>
      </c>
      <c r="R516" t="s">
        <v>55</v>
      </c>
      <c r="S516" t="s">
        <v>45</v>
      </c>
      <c r="T516" t="s">
        <v>46</v>
      </c>
      <c r="U516" t="s">
        <v>70</v>
      </c>
      <c r="V516" t="s">
        <v>38</v>
      </c>
      <c r="W516" t="s">
        <v>1094</v>
      </c>
      <c r="X516" t="s">
        <v>72</v>
      </c>
      <c r="Y516">
        <v>9007199254741503</v>
      </c>
      <c r="Z516">
        <v>2</v>
      </c>
      <c r="AA516" t="s">
        <v>38</v>
      </c>
      <c r="AB516" t="b">
        <v>0</v>
      </c>
      <c r="AD516" s="3">
        <v>0.125</v>
      </c>
      <c r="AE516" s="2">
        <v>45908.5</v>
      </c>
      <c r="AF516" t="s">
        <v>60</v>
      </c>
    </row>
    <row r="517">
      <c r="A517" t="s">
        <v>1095</v>
      </c>
      <c r="B517" s="2">
        <v>45907.5</v>
      </c>
      <c r="C517" t="s">
        <v>49</v>
      </c>
      <c r="D517" t="s">
        <f>'客户档案'!B4</f>
        <v>50</v>
      </c>
      <c r="E517" t="s">
        <v>74</v>
      </c>
      <c r="F517" t="s">
        <v>75</v>
      </c>
      <c r="G517" t="s">
        <f>'商品目录'!B6</f>
        <v>76</v>
      </c>
      <c r="H517" t="s">
        <v>77</v>
      </c>
      <c r="I517">
        <v>4</v>
      </c>
      <c r="J517" s="4">
        <v>8</v>
      </c>
      <c r="K517" s="4">
        <f>I517*J517</f>
        <v>32</v>
      </c>
      <c r="L517" s="3">
        <v>0.5</v>
      </c>
      <c r="M517" s="4">
        <f>K517*L517</f>
        <v>16</v>
      </c>
      <c r="N517" s="4">
        <v>10</v>
      </c>
      <c r="O517" s="4">
        <f>K517-M517+N517</f>
        <v>26</v>
      </c>
      <c r="P517" t="s">
        <v>43</v>
      </c>
      <c r="Q517" t="b">
        <v>1</v>
      </c>
      <c r="R517" t="s">
        <v>55</v>
      </c>
      <c r="S517" t="s">
        <v>56</v>
      </c>
      <c r="T517" t="s">
        <v>57</v>
      </c>
      <c r="U517" t="s">
        <v>78</v>
      </c>
      <c r="V517" t="s">
        <v>50</v>
      </c>
      <c r="W517" t="s">
        <v>1096</v>
      </c>
      <c r="X517" t="s">
        <v>80</v>
      </c>
      <c r="Y517">
        <v>9007199254741504</v>
      </c>
      <c r="Z517">
        <v>0</v>
      </c>
      <c r="AA517" t="s">
        <v>50</v>
      </c>
      <c r="AB517" t="b">
        <v>1</v>
      </c>
      <c r="AD517" s="3">
        <v>0.125</v>
      </c>
      <c r="AE517" s="2">
        <v>45909.5</v>
      </c>
      <c r="AF517" t="s">
        <v>60</v>
      </c>
    </row>
    <row r="518">
      <c r="A518" t="s">
        <v>1097</v>
      </c>
      <c r="B518" s="2">
        <v>45908.5</v>
      </c>
      <c r="C518" t="s">
        <v>62</v>
      </c>
      <c r="D518" t="s">
        <f>'客户档案'!B5</f>
        <v>63</v>
      </c>
      <c r="E518" t="s">
        <v>39</v>
      </c>
      <c r="F518" t="s">
        <v>40</v>
      </c>
      <c r="G518" t="s">
        <f>'商品目录'!B3</f>
        <v>41</v>
      </c>
      <c r="H518" t="s">
        <v>42</v>
      </c>
      <c r="I518">
        <v>6</v>
      </c>
      <c r="J518" s="4">
        <v>99</v>
      </c>
      <c r="K518" s="4">
        <f>I518*J518</f>
        <v>594</v>
      </c>
      <c r="L518" s="3">
        <v>0</v>
      </c>
      <c r="M518" s="4">
        <f>K518*L518</f>
        <v>0</v>
      </c>
      <c r="N518" s="4">
        <v>20</v>
      </c>
      <c r="O518" s="4">
        <f>K518-M518+N518</f>
        <v>614</v>
      </c>
      <c r="P518" t="s">
        <v>43</v>
      </c>
      <c r="Q518" t="b">
        <v>0</v>
      </c>
      <c r="R518" t="s">
        <v>44</v>
      </c>
      <c r="S518" t="s">
        <v>68</v>
      </c>
      <c r="T518" t="s">
        <v>69</v>
      </c>
      <c r="U518" t="s">
        <v>39</v>
      </c>
      <c r="V518" t="s">
        <v>63</v>
      </c>
      <c r="W518" t="s">
        <v>1098</v>
      </c>
      <c r="X518" t="s">
        <v>0</v>
      </c>
      <c r="Y518">
        <v>9007199254741505</v>
      </c>
      <c r="Z518">
        <v>0</v>
      </c>
      <c r="AA518" t="s">
        <v>63</v>
      </c>
      <c r="AB518" t="b">
        <v>0</v>
      </c>
      <c r="AD518" s="3">
        <v>0.125</v>
      </c>
      <c r="AE518" s="2">
        <v>45910.5</v>
      </c>
      <c r="AF518" t="s">
        <v>60</v>
      </c>
    </row>
    <row r="519">
      <c r="A519" t="s">
        <v>1099</v>
      </c>
      <c r="B519" s="2">
        <v>45909.5</v>
      </c>
      <c r="C519" t="s">
        <v>37</v>
      </c>
      <c r="D519" t="s">
        <f>'客户档案'!B3</f>
        <v>38</v>
      </c>
      <c r="E519" t="s">
        <v>51</v>
      </c>
      <c r="F519" t="s">
        <v>52</v>
      </c>
      <c r="G519" t="s">
        <f>'商品目录'!B4</f>
        <v>53</v>
      </c>
      <c r="H519" t="s">
        <v>54</v>
      </c>
      <c r="I519">
        <v>8</v>
      </c>
      <c r="J519" s="4">
        <v>129</v>
      </c>
      <c r="K519" s="4">
        <f>I519*J519</f>
        <v>1032</v>
      </c>
      <c r="L519" s="3">
        <v>0.5</v>
      </c>
      <c r="M519" s="4">
        <f>K519*L519</f>
        <v>516</v>
      </c>
      <c r="N519" s="4">
        <v>0</v>
      </c>
      <c r="O519" s="4">
        <f>K519-M519+N519</f>
        <v>516</v>
      </c>
      <c r="P519" t="s">
        <v>43</v>
      </c>
      <c r="Q519" t="b">
        <v>1</v>
      </c>
      <c r="R519" t="s">
        <v>55</v>
      </c>
      <c r="S519" t="s">
        <v>45</v>
      </c>
      <c r="T519" t="s">
        <v>46</v>
      </c>
      <c r="U519" t="s">
        <v>51</v>
      </c>
      <c r="V519" t="s">
        <v>38</v>
      </c>
      <c r="W519" t="s">
        <v>1100</v>
      </c>
      <c r="X519" t="s">
        <v>59</v>
      </c>
      <c r="Y519">
        <v>9007199254741506</v>
      </c>
      <c r="Z519">
        <v>0</v>
      </c>
      <c r="AA519" t="s">
        <v>38</v>
      </c>
      <c r="AB519" t="b">
        <v>1</v>
      </c>
      <c r="AD519" s="3">
        <v>0.125</v>
      </c>
      <c r="AE519" s="2">
        <v>45911.5</v>
      </c>
      <c r="AF519" t="s">
        <v>60</v>
      </c>
    </row>
    <row r="520">
      <c r="A520" t="s">
        <v>1101</v>
      </c>
      <c r="B520" s="2">
        <v>45910.5</v>
      </c>
      <c r="C520" t="s">
        <v>49</v>
      </c>
      <c r="D520" t="s">
        <f>'客户档案'!B4</f>
        <v>50</v>
      </c>
      <c r="E520" t="s">
        <v>64</v>
      </c>
      <c r="F520" t="s">
        <v>65</v>
      </c>
      <c r="G520" t="s">
        <f>'商品目录'!B5</f>
        <v>66</v>
      </c>
      <c r="H520" t="s">
        <v>67</v>
      </c>
      <c r="I520">
        <v>10</v>
      </c>
      <c r="J520" s="4">
        <v>45</v>
      </c>
      <c r="K520" s="4">
        <f>I520*J520</f>
        <v>450</v>
      </c>
      <c r="L520" s="3">
        <v>0</v>
      </c>
      <c r="M520" s="4">
        <f>K520*L520</f>
        <v>0</v>
      </c>
      <c r="N520" s="4">
        <v>10</v>
      </c>
      <c r="O520" s="4">
        <f>K520-M520+N520</f>
        <v>460</v>
      </c>
      <c r="P520" t="s">
        <v>43</v>
      </c>
      <c r="Q520" t="b">
        <v>1</v>
      </c>
      <c r="R520" t="s">
        <v>55</v>
      </c>
      <c r="S520" t="s">
        <v>56</v>
      </c>
      <c r="T520" t="s">
        <v>57</v>
      </c>
      <c r="U520" t="s">
        <v>70</v>
      </c>
      <c r="V520" t="s">
        <v>50</v>
      </c>
      <c r="W520" t="s">
        <v>1102</v>
      </c>
      <c r="X520" t="s">
        <v>72</v>
      </c>
      <c r="Y520">
        <v>9007199254741507</v>
      </c>
      <c r="Z520">
        <v>0</v>
      </c>
      <c r="AA520" t="s">
        <v>50</v>
      </c>
      <c r="AB520" t="b">
        <v>0</v>
      </c>
      <c r="AD520" s="3">
        <v>0.125</v>
      </c>
      <c r="AE520" s="2">
        <v>45912.5</v>
      </c>
      <c r="AF520" t="s">
        <v>60</v>
      </c>
    </row>
    <row r="521">
      <c r="A521" t="s">
        <v>1103</v>
      </c>
      <c r="B521" s="2">
        <v>45911.5</v>
      </c>
      <c r="C521" t="s">
        <v>62</v>
      </c>
      <c r="D521" t="s">
        <f>'客户档案'!B5</f>
        <v>63</v>
      </c>
      <c r="E521" t="s">
        <v>74</v>
      </c>
      <c r="F521" t="s">
        <v>75</v>
      </c>
      <c r="G521" t="s">
        <f>'商品目录'!B6</f>
        <v>76</v>
      </c>
      <c r="H521" t="s">
        <v>77</v>
      </c>
      <c r="I521">
        <v>2</v>
      </c>
      <c r="J521" s="4">
        <v>8</v>
      </c>
      <c r="K521" s="4">
        <f>I521*J521</f>
        <v>16</v>
      </c>
      <c r="L521" s="3">
        <v>0.5</v>
      </c>
      <c r="M521" s="4">
        <f>K521*L521</f>
        <v>8</v>
      </c>
      <c r="N521" s="4">
        <v>20</v>
      </c>
      <c r="O521" s="4">
        <f>K521-M521+N521</f>
        <v>28</v>
      </c>
      <c r="P521" t="s">
        <v>43</v>
      </c>
      <c r="Q521" t="b">
        <v>1</v>
      </c>
      <c r="R521" t="s">
        <v>55</v>
      </c>
      <c r="S521" t="s">
        <v>68</v>
      </c>
      <c r="T521" t="s">
        <v>69</v>
      </c>
      <c r="U521" t="s">
        <v>78</v>
      </c>
      <c r="V521" t="s">
        <v>63</v>
      </c>
      <c r="W521" t="s">
        <v>1104</v>
      </c>
      <c r="X521" t="s">
        <v>80</v>
      </c>
      <c r="Y521">
        <v>9007199254741508</v>
      </c>
      <c r="Z521">
        <v>0</v>
      </c>
      <c r="AA521" t="s">
        <v>63</v>
      </c>
      <c r="AB521" t="b">
        <v>1</v>
      </c>
      <c r="AD521" s="3">
        <v>0.125</v>
      </c>
      <c r="AE521" s="2">
        <v>45913.5</v>
      </c>
      <c r="AF521" t="s">
        <v>60</v>
      </c>
    </row>
    <row r="522">
      <c r="A522" t="s">
        <v>1105</v>
      </c>
      <c r="B522" s="2">
        <v>45912.5</v>
      </c>
      <c r="C522" t="s">
        <v>37</v>
      </c>
      <c r="D522" t="s">
        <f>'客户档案'!B3</f>
        <v>38</v>
      </c>
      <c r="E522" t="s">
        <v>39</v>
      </c>
      <c r="F522" t="s">
        <v>40</v>
      </c>
      <c r="G522" t="s">
        <f>'商品目录'!B3</f>
        <v>41</v>
      </c>
      <c r="H522" t="s">
        <v>42</v>
      </c>
      <c r="I522">
        <v>4</v>
      </c>
      <c r="J522" s="4">
        <v>99</v>
      </c>
      <c r="K522" s="4">
        <f>I522*J522</f>
        <v>396</v>
      </c>
      <c r="L522" s="3">
        <v>0</v>
      </c>
      <c r="M522" s="4">
        <f>K522*L522</f>
        <v>0</v>
      </c>
      <c r="N522" s="4">
        <v>0</v>
      </c>
      <c r="O522" s="4">
        <f>K522-M522+N522</f>
        <v>396</v>
      </c>
      <c r="P522" t="s">
        <v>43</v>
      </c>
      <c r="Q522" t="b">
        <v>0</v>
      </c>
      <c r="R522" t="s">
        <v>44</v>
      </c>
      <c r="S522" t="s">
        <v>45</v>
      </c>
      <c r="T522" t="s">
        <v>46</v>
      </c>
      <c r="U522" t="s">
        <v>39</v>
      </c>
      <c r="V522" t="s">
        <v>38</v>
      </c>
      <c r="W522" t="s">
        <v>1106</v>
      </c>
      <c r="X522" t="s">
        <v>0</v>
      </c>
      <c r="Y522">
        <v>9007199254741509</v>
      </c>
      <c r="Z522">
        <v>0</v>
      </c>
      <c r="AA522" t="s">
        <v>38</v>
      </c>
      <c r="AB522" t="b">
        <v>0</v>
      </c>
      <c r="AD522" s="3">
        <v>0.125</v>
      </c>
      <c r="AE522" s="2">
        <v>45914.5</v>
      </c>
      <c r="AF522" t="s">
        <v>60</v>
      </c>
    </row>
    <row r="523">
      <c r="A523" t="s">
        <v>1107</v>
      </c>
      <c r="B523" s="2">
        <v>45913.5</v>
      </c>
      <c r="C523" t="s">
        <v>49</v>
      </c>
      <c r="D523" t="s">
        <f>'客户档案'!B4</f>
        <v>50</v>
      </c>
      <c r="E523" t="s">
        <v>51</v>
      </c>
      <c r="F523" t="s">
        <v>52</v>
      </c>
      <c r="G523" t="s">
        <f>'商品目录'!B4</f>
        <v>53</v>
      </c>
      <c r="H523" t="s">
        <v>54</v>
      </c>
      <c r="I523">
        <v>6</v>
      </c>
      <c r="J523" s="4">
        <v>129</v>
      </c>
      <c r="K523" s="4">
        <f>I523*J523</f>
        <v>774</v>
      </c>
      <c r="L523" s="3">
        <v>0.5</v>
      </c>
      <c r="M523" s="4">
        <f>K523*L523</f>
        <v>387</v>
      </c>
      <c r="N523" s="4">
        <v>10</v>
      </c>
      <c r="O523" s="4">
        <f>K523-M523+N523</f>
        <v>397</v>
      </c>
      <c r="P523" t="s">
        <v>43</v>
      </c>
      <c r="Q523" t="b">
        <v>1</v>
      </c>
      <c r="R523" t="s">
        <v>55</v>
      </c>
      <c r="S523" t="s">
        <v>56</v>
      </c>
      <c r="T523" t="s">
        <v>57</v>
      </c>
      <c r="U523" t="s">
        <v>51</v>
      </c>
      <c r="V523" t="s">
        <v>50</v>
      </c>
      <c r="W523" t="s">
        <v>1108</v>
      </c>
      <c r="X523" t="s">
        <v>59</v>
      </c>
      <c r="Y523">
        <v>9007199254741510</v>
      </c>
      <c r="Z523">
        <v>0</v>
      </c>
      <c r="AA523" t="s">
        <v>50</v>
      </c>
      <c r="AB523" t="b">
        <v>1</v>
      </c>
      <c r="AD523" s="3">
        <v>0.125</v>
      </c>
      <c r="AE523" s="2">
        <v>45915.5</v>
      </c>
      <c r="AF523" t="s">
        <v>60</v>
      </c>
    </row>
    <row r="524">
      <c r="A524" t="s">
        <v>1109</v>
      </c>
      <c r="B524" s="2">
        <v>45914.5</v>
      </c>
      <c r="C524" t="s">
        <v>62</v>
      </c>
      <c r="D524" t="s">
        <f>'客户档案'!B5</f>
        <v>63</v>
      </c>
      <c r="E524" t="s">
        <v>64</v>
      </c>
      <c r="F524" t="s">
        <v>65</v>
      </c>
      <c r="G524" t="s">
        <f>'商品目录'!B5</f>
        <v>66</v>
      </c>
      <c r="H524" t="s">
        <v>67</v>
      </c>
      <c r="I524">
        <v>8</v>
      </c>
      <c r="J524" s="4">
        <v>45</v>
      </c>
      <c r="K524" s="4">
        <f>I524*J524</f>
        <v>360</v>
      </c>
      <c r="L524" s="3">
        <v>0</v>
      </c>
      <c r="M524" s="4">
        <f>K524*L524</f>
        <v>0</v>
      </c>
      <c r="N524" s="4">
        <v>20</v>
      </c>
      <c r="O524" s="4">
        <f>K524-M524+N524</f>
        <v>380</v>
      </c>
      <c r="P524" t="s">
        <v>43</v>
      </c>
      <c r="Q524" t="b">
        <v>1</v>
      </c>
      <c r="R524" t="s">
        <v>55</v>
      </c>
      <c r="S524" t="s">
        <v>68</v>
      </c>
      <c r="T524" t="s">
        <v>69</v>
      </c>
      <c r="U524" t="s">
        <v>70</v>
      </c>
      <c r="V524" t="s">
        <v>63</v>
      </c>
      <c r="W524" t="s">
        <v>1110</v>
      </c>
      <c r="X524" t="s">
        <v>72</v>
      </c>
      <c r="Y524">
        <v>9007199254741511</v>
      </c>
      <c r="Z524">
        <v>0</v>
      </c>
      <c r="AA524" t="s">
        <v>63</v>
      </c>
      <c r="AB524" t="b">
        <v>0</v>
      </c>
      <c r="AD524" s="3">
        <v>0.125</v>
      </c>
      <c r="AE524" s="2">
        <v>45916.5</v>
      </c>
      <c r="AF524" t="s">
        <v>60</v>
      </c>
    </row>
    <row r="525">
      <c r="A525" t="s">
        <v>1111</v>
      </c>
      <c r="B525" s="2">
        <v>45915.5</v>
      </c>
      <c r="C525" t="s">
        <v>37</v>
      </c>
      <c r="D525" t="s">
        <f>'客户档案'!B3</f>
        <v>38</v>
      </c>
      <c r="E525" t="s">
        <v>74</v>
      </c>
      <c r="F525" t="s">
        <v>75</v>
      </c>
      <c r="G525" t="s">
        <f>'商品目录'!B6</f>
        <v>76</v>
      </c>
      <c r="H525" t="s">
        <v>77</v>
      </c>
      <c r="I525">
        <v>10</v>
      </c>
      <c r="J525" s="4">
        <v>8</v>
      </c>
      <c r="K525" s="4">
        <f>I525*J525</f>
        <v>80</v>
      </c>
      <c r="L525" s="3">
        <v>0.5</v>
      </c>
      <c r="M525" s="4">
        <f>K525*L525</f>
        <v>40</v>
      </c>
      <c r="N525" s="4">
        <v>0</v>
      </c>
      <c r="O525" s="4">
        <f>K525-M525+N525</f>
        <v>40</v>
      </c>
      <c r="P525" t="s">
        <v>43</v>
      </c>
      <c r="Q525" t="b">
        <v>1</v>
      </c>
      <c r="R525" t="s">
        <v>55</v>
      </c>
      <c r="S525" t="s">
        <v>45</v>
      </c>
      <c r="T525" t="s">
        <v>46</v>
      </c>
      <c r="U525" t="s">
        <v>78</v>
      </c>
      <c r="V525" t="s">
        <v>38</v>
      </c>
      <c r="W525" t="s">
        <v>1112</v>
      </c>
      <c r="X525" t="s">
        <v>80</v>
      </c>
      <c r="Y525">
        <v>9007199254741512</v>
      </c>
      <c r="Z525">
        <v>0</v>
      </c>
      <c r="AA525" t="s">
        <v>38</v>
      </c>
      <c r="AB525" t="b">
        <v>1</v>
      </c>
      <c r="AD525" s="3">
        <v>0.125</v>
      </c>
      <c r="AE525" s="2">
        <v>45917.5</v>
      </c>
      <c r="AF525" t="s">
        <v>60</v>
      </c>
    </row>
    <row r="526">
      <c r="A526" t="s">
        <v>1113</v>
      </c>
      <c r="B526" s="2">
        <v>45916.5</v>
      </c>
      <c r="C526" t="s">
        <v>49</v>
      </c>
      <c r="D526" t="s">
        <f>'客户档案'!B4</f>
        <v>50</v>
      </c>
      <c r="E526" t="s">
        <v>39</v>
      </c>
      <c r="F526" t="s">
        <v>40</v>
      </c>
      <c r="G526" t="s">
        <f>'商品目录'!B3</f>
        <v>41</v>
      </c>
      <c r="H526" t="s">
        <v>42</v>
      </c>
      <c r="I526">
        <v>2</v>
      </c>
      <c r="J526" s="4">
        <v>99</v>
      </c>
      <c r="K526" s="4">
        <f>I526*J526</f>
        <v>198</v>
      </c>
      <c r="L526" s="3">
        <v>0</v>
      </c>
      <c r="M526" s="4">
        <f>K526*L526</f>
        <v>0</v>
      </c>
      <c r="N526" s="4">
        <v>10</v>
      </c>
      <c r="O526" s="4">
        <f>K526-M526+N526</f>
        <v>208</v>
      </c>
      <c r="P526" t="s">
        <v>43</v>
      </c>
      <c r="Q526" t="b">
        <v>0</v>
      </c>
      <c r="R526" t="s">
        <v>44</v>
      </c>
      <c r="S526" t="s">
        <v>56</v>
      </c>
      <c r="T526" t="s">
        <v>57</v>
      </c>
      <c r="U526" t="s">
        <v>39</v>
      </c>
      <c r="V526" t="s">
        <v>50</v>
      </c>
      <c r="W526" t="s">
        <v>1114</v>
      </c>
      <c r="X526" t="s">
        <v>0</v>
      </c>
      <c r="Y526">
        <v>9007199254741513</v>
      </c>
      <c r="Z526">
        <v>0</v>
      </c>
      <c r="AA526" t="s">
        <v>50</v>
      </c>
      <c r="AB526" t="b">
        <v>0</v>
      </c>
      <c r="AD526" s="3">
        <v>0.125</v>
      </c>
      <c r="AE526" s="2">
        <v>45918.5</v>
      </c>
      <c r="AF526" t="s">
        <v>60</v>
      </c>
    </row>
    <row r="527">
      <c r="A527" t="s">
        <v>1115</v>
      </c>
      <c r="B527" s="2">
        <v>45917.5</v>
      </c>
      <c r="C527" t="s">
        <v>62</v>
      </c>
      <c r="D527" t="s">
        <f>'客户档案'!B5</f>
        <v>63</v>
      </c>
      <c r="E527" t="s">
        <v>51</v>
      </c>
      <c r="F527" t="s">
        <v>52</v>
      </c>
      <c r="G527" t="s">
        <f>'商品目录'!B4</f>
        <v>53</v>
      </c>
      <c r="H527" t="s">
        <v>54</v>
      </c>
      <c r="I527">
        <v>4</v>
      </c>
      <c r="J527" s="4">
        <v>129</v>
      </c>
      <c r="K527" s="4">
        <f>I527*J527</f>
        <v>516</v>
      </c>
      <c r="L527" s="3">
        <v>0.5</v>
      </c>
      <c r="M527" s="4">
        <f>K527*L527</f>
        <v>258</v>
      </c>
      <c r="N527" s="4">
        <v>20</v>
      </c>
      <c r="O527" s="4">
        <f>K527-M527+N527</f>
        <v>278</v>
      </c>
      <c r="P527" t="s">
        <v>43</v>
      </c>
      <c r="Q527" t="b">
        <v>1</v>
      </c>
      <c r="R527" t="s">
        <v>55</v>
      </c>
      <c r="S527" t="s">
        <v>68</v>
      </c>
      <c r="T527" t="s">
        <v>69</v>
      </c>
      <c r="U527" t="s">
        <v>51</v>
      </c>
      <c r="V527" t="s">
        <v>63</v>
      </c>
      <c r="W527" t="s">
        <v>1116</v>
      </c>
      <c r="X527" t="s">
        <v>59</v>
      </c>
      <c r="Y527">
        <v>9007199254741514</v>
      </c>
      <c r="Z527">
        <v>0</v>
      </c>
      <c r="AA527" t="s">
        <v>63</v>
      </c>
      <c r="AB527" t="b">
        <v>1</v>
      </c>
      <c r="AD527" s="3">
        <v>0.125</v>
      </c>
      <c r="AE527" s="2">
        <v>45919.5</v>
      </c>
      <c r="AF527" t="s">
        <v>60</v>
      </c>
    </row>
    <row r="528">
      <c r="A528" t="s">
        <v>1117</v>
      </c>
      <c r="B528" s="2">
        <v>45918.5</v>
      </c>
      <c r="C528" t="s">
        <v>37</v>
      </c>
      <c r="D528" t="s">
        <f>'客户档案'!B3</f>
        <v>38</v>
      </c>
      <c r="E528" t="s">
        <v>64</v>
      </c>
      <c r="F528" t="s">
        <v>65</v>
      </c>
      <c r="G528" t="s">
        <f>'商品目录'!B5</f>
        <v>66</v>
      </c>
      <c r="H528" t="s">
        <v>67</v>
      </c>
      <c r="I528">
        <v>6</v>
      </c>
      <c r="J528" s="4">
        <v>45</v>
      </c>
      <c r="K528" s="4">
        <f>I528*J528</f>
        <v>270</v>
      </c>
      <c r="L528" s="3">
        <v>0</v>
      </c>
      <c r="M528" s="4">
        <f>K528*L528</f>
        <v>0</v>
      </c>
      <c r="N528" s="4">
        <v>0</v>
      </c>
      <c r="O528" s="4">
        <f>K528-M528+N528</f>
        <v>270</v>
      </c>
      <c r="P528" t="s">
        <v>43</v>
      </c>
      <c r="Q528" t="b">
        <v>1</v>
      </c>
      <c r="R528" t="s">
        <v>55</v>
      </c>
      <c r="S528" t="s">
        <v>45</v>
      </c>
      <c r="T528" t="s">
        <v>46</v>
      </c>
      <c r="U528" t="s">
        <v>70</v>
      </c>
      <c r="V528" t="s">
        <v>38</v>
      </c>
      <c r="W528" t="s">
        <v>1118</v>
      </c>
      <c r="X528" t="s">
        <v>72</v>
      </c>
      <c r="Y528">
        <v>9007199254741515</v>
      </c>
      <c r="Z528">
        <v>0</v>
      </c>
      <c r="AA528" t="s">
        <v>38</v>
      </c>
      <c r="AB528" t="b">
        <v>0</v>
      </c>
      <c r="AD528" s="3">
        <v>0.125</v>
      </c>
      <c r="AE528" s="2">
        <v>45920.5</v>
      </c>
      <c r="AF528" t="s">
        <v>60</v>
      </c>
    </row>
    <row r="529">
      <c r="A529" t="s">
        <v>1119</v>
      </c>
      <c r="B529" s="2">
        <v>45919.5</v>
      </c>
      <c r="C529" t="s">
        <v>49</v>
      </c>
      <c r="D529" t="s">
        <f>'客户档案'!B4</f>
        <v>50</v>
      </c>
      <c r="E529" t="s">
        <v>74</v>
      </c>
      <c r="F529" t="s">
        <v>75</v>
      </c>
      <c r="G529" t="s">
        <f>'商品目录'!B6</f>
        <v>76</v>
      </c>
      <c r="H529" t="s">
        <v>77</v>
      </c>
      <c r="I529">
        <v>8</v>
      </c>
      <c r="J529" s="4">
        <v>8</v>
      </c>
      <c r="K529" s="4">
        <f>I529*J529</f>
        <v>64</v>
      </c>
      <c r="L529" s="3">
        <v>0.5</v>
      </c>
      <c r="M529" s="4">
        <f>K529*L529</f>
        <v>32</v>
      </c>
      <c r="N529" s="4">
        <v>10</v>
      </c>
      <c r="O529" s="4">
        <f>K529-M529+N529</f>
        <v>42</v>
      </c>
      <c r="P529" t="s">
        <v>43</v>
      </c>
      <c r="Q529" t="b">
        <v>1</v>
      </c>
      <c r="R529" t="s">
        <v>55</v>
      </c>
      <c r="S529" t="s">
        <v>56</v>
      </c>
      <c r="T529" t="s">
        <v>57</v>
      </c>
      <c r="U529" t="s">
        <v>78</v>
      </c>
      <c r="V529" t="s">
        <v>50</v>
      </c>
      <c r="W529" t="s">
        <v>1120</v>
      </c>
      <c r="X529" t="s">
        <v>80</v>
      </c>
      <c r="Y529">
        <v>9007199254741516</v>
      </c>
      <c r="Z529">
        <v>0</v>
      </c>
      <c r="AA529" t="s">
        <v>50</v>
      </c>
      <c r="AB529" t="b">
        <v>1</v>
      </c>
      <c r="AD529" s="3">
        <v>0.125</v>
      </c>
      <c r="AE529" s="2">
        <v>45921.5</v>
      </c>
      <c r="AF529" t="s">
        <v>60</v>
      </c>
    </row>
    <row r="530">
      <c r="A530" t="s">
        <v>1121</v>
      </c>
      <c r="B530" s="2">
        <v>45920.5</v>
      </c>
      <c r="C530" t="s">
        <v>62</v>
      </c>
      <c r="D530" t="s">
        <f>'客户档案'!B5</f>
        <v>63</v>
      </c>
      <c r="E530" t="s">
        <v>39</v>
      </c>
      <c r="F530" t="s">
        <v>40</v>
      </c>
      <c r="G530" t="s">
        <f>'商品目录'!B3</f>
        <v>41</v>
      </c>
      <c r="H530" t="s">
        <v>42</v>
      </c>
      <c r="I530">
        <v>10</v>
      </c>
      <c r="J530" s="4">
        <v>99</v>
      </c>
      <c r="K530" s="4">
        <f>I530*J530</f>
        <v>990</v>
      </c>
      <c r="L530" s="3">
        <v>0</v>
      </c>
      <c r="M530" s="4">
        <f>K530*L530</f>
        <v>0</v>
      </c>
      <c r="N530" s="4">
        <v>20</v>
      </c>
      <c r="O530" s="4">
        <f>K530-M530+N530</f>
        <v>1010</v>
      </c>
      <c r="P530" t="s">
        <v>43</v>
      </c>
      <c r="Q530" t="b">
        <v>0</v>
      </c>
      <c r="R530" t="s">
        <v>44</v>
      </c>
      <c r="S530" t="s">
        <v>68</v>
      </c>
      <c r="T530" t="s">
        <v>69</v>
      </c>
      <c r="U530" t="s">
        <v>39</v>
      </c>
      <c r="V530" t="s">
        <v>63</v>
      </c>
      <c r="W530" t="s">
        <v>1122</v>
      </c>
      <c r="X530" t="s">
        <v>0</v>
      </c>
      <c r="Y530">
        <v>9007199254741517</v>
      </c>
      <c r="Z530">
        <v>0</v>
      </c>
      <c r="AA530" t="s">
        <v>63</v>
      </c>
      <c r="AB530" t="b">
        <v>0</v>
      </c>
      <c r="AD530" s="3">
        <v>0.125</v>
      </c>
      <c r="AE530" s="2">
        <v>45922.5</v>
      </c>
      <c r="AF530" t="s">
        <v>60</v>
      </c>
    </row>
    <row r="531">
      <c r="A531" t="s">
        <v>1123</v>
      </c>
      <c r="B531" s="2">
        <v>45921.5</v>
      </c>
      <c r="C531" t="s">
        <v>37</v>
      </c>
      <c r="D531" t="s">
        <f>'客户档案'!B3</f>
        <v>38</v>
      </c>
      <c r="E531" t="s">
        <v>51</v>
      </c>
      <c r="F531" t="s">
        <v>52</v>
      </c>
      <c r="G531" t="s">
        <f>'商品目录'!B4</f>
        <v>53</v>
      </c>
      <c r="H531" t="s">
        <v>54</v>
      </c>
      <c r="I531">
        <v>2</v>
      </c>
      <c r="J531" s="4">
        <v>129</v>
      </c>
      <c r="K531" s="4">
        <f>I531*J531</f>
        <v>258</v>
      </c>
      <c r="L531" s="3">
        <v>0.5</v>
      </c>
      <c r="M531" s="4">
        <f>K531*L531</f>
        <v>129</v>
      </c>
      <c r="N531" s="4">
        <v>0</v>
      </c>
      <c r="O531" s="4">
        <f>K531-M531+N531</f>
        <v>129</v>
      </c>
      <c r="P531" t="s">
        <v>43</v>
      </c>
      <c r="Q531" t="b">
        <v>1</v>
      </c>
      <c r="R531" t="s">
        <v>55</v>
      </c>
      <c r="S531" t="s">
        <v>45</v>
      </c>
      <c r="T531" t="s">
        <v>46</v>
      </c>
      <c r="U531" t="s">
        <v>51</v>
      </c>
      <c r="V531" t="s">
        <v>38</v>
      </c>
      <c r="W531" t="s">
        <v>1124</v>
      </c>
      <c r="X531" t="s">
        <v>59</v>
      </c>
      <c r="Y531">
        <v>9007199254741518</v>
      </c>
      <c r="Z531">
        <v>0</v>
      </c>
      <c r="AA531" t="s">
        <v>38</v>
      </c>
      <c r="AB531" t="b">
        <v>1</v>
      </c>
      <c r="AD531" s="3">
        <v>0.125</v>
      </c>
      <c r="AE531" s="2">
        <v>45923.5</v>
      </c>
      <c r="AF531" t="s">
        <v>60</v>
      </c>
    </row>
    <row r="532">
      <c r="A532" t="s">
        <v>1125</v>
      </c>
      <c r="B532" s="2">
        <v>45922.5</v>
      </c>
      <c r="C532" t="s">
        <v>49</v>
      </c>
      <c r="D532" t="s">
        <f>'客户档案'!B4</f>
        <v>50</v>
      </c>
      <c r="E532" t="s">
        <v>64</v>
      </c>
      <c r="F532" t="s">
        <v>65</v>
      </c>
      <c r="G532" t="s">
        <f>'商品目录'!B5</f>
        <v>66</v>
      </c>
      <c r="H532" t="s">
        <v>67</v>
      </c>
      <c r="I532">
        <v>4</v>
      </c>
      <c r="J532" s="4">
        <v>45</v>
      </c>
      <c r="K532" s="4">
        <f>I532*J532</f>
        <v>180</v>
      </c>
      <c r="L532" s="3">
        <v>0</v>
      </c>
      <c r="M532" s="4">
        <f>K532*L532</f>
        <v>0</v>
      </c>
      <c r="N532" s="4">
        <v>10</v>
      </c>
      <c r="O532" s="4">
        <f>K532-M532+N532</f>
        <v>190</v>
      </c>
      <c r="P532" t="s">
        <v>43</v>
      </c>
      <c r="Q532" t="b">
        <v>1</v>
      </c>
      <c r="R532" t="s">
        <v>55</v>
      </c>
      <c r="S532" t="s">
        <v>56</v>
      </c>
      <c r="T532" t="s">
        <v>57</v>
      </c>
      <c r="U532" t="s">
        <v>70</v>
      </c>
      <c r="V532" t="s">
        <v>50</v>
      </c>
      <c r="W532" t="s">
        <v>1126</v>
      </c>
      <c r="X532" t="s">
        <v>72</v>
      </c>
      <c r="Y532">
        <v>9007199254741519</v>
      </c>
      <c r="Z532">
        <v>0</v>
      </c>
      <c r="AA532" t="s">
        <v>50</v>
      </c>
      <c r="AB532" t="b">
        <v>0</v>
      </c>
      <c r="AD532" s="3">
        <v>0.125</v>
      </c>
      <c r="AE532" s="2">
        <v>45924.5</v>
      </c>
      <c r="AF532" t="s">
        <v>60</v>
      </c>
    </row>
    <row r="533">
      <c r="A533" t="s">
        <v>1127</v>
      </c>
      <c r="B533" s="2">
        <v>45923.5</v>
      </c>
      <c r="C533" t="s">
        <v>62</v>
      </c>
      <c r="D533" t="s">
        <f>'客户档案'!B5</f>
        <v>63</v>
      </c>
      <c r="E533" t="s">
        <v>74</v>
      </c>
      <c r="F533" t="s">
        <v>75</v>
      </c>
      <c r="G533" t="s">
        <f>'商品目录'!B6</f>
        <v>76</v>
      </c>
      <c r="H533" t="s">
        <v>77</v>
      </c>
      <c r="I533">
        <v>6</v>
      </c>
      <c r="J533" s="4">
        <v>8</v>
      </c>
      <c r="K533" s="4">
        <f>I533*J533</f>
        <v>48</v>
      </c>
      <c r="L533" s="3">
        <v>0.5</v>
      </c>
      <c r="M533" s="4">
        <f>K533*L533</f>
        <v>24</v>
      </c>
      <c r="N533" s="4">
        <v>20</v>
      </c>
      <c r="O533" s="4">
        <f>K533-M533+N533</f>
        <v>44</v>
      </c>
      <c r="P533" t="s">
        <v>43</v>
      </c>
      <c r="Q533" t="b">
        <v>1</v>
      </c>
      <c r="R533" t="s">
        <v>55</v>
      </c>
      <c r="S533" t="s">
        <v>68</v>
      </c>
      <c r="T533" t="s">
        <v>69</v>
      </c>
      <c r="U533" t="s">
        <v>78</v>
      </c>
      <c r="V533" t="s">
        <v>63</v>
      </c>
      <c r="W533" t="s">
        <v>1128</v>
      </c>
      <c r="X533" t="s">
        <v>80</v>
      </c>
      <c r="Y533">
        <v>9007199254741520</v>
      </c>
      <c r="Z533">
        <v>2</v>
      </c>
      <c r="AA533" t="s">
        <v>63</v>
      </c>
      <c r="AB533" t="b">
        <v>1</v>
      </c>
      <c r="AD533" s="3">
        <v>0.125</v>
      </c>
      <c r="AE533" s="2">
        <v>45925.5</v>
      </c>
      <c r="AF533" t="s">
        <v>60</v>
      </c>
    </row>
    <row r="534">
      <c r="A534" t="s">
        <v>1129</v>
      </c>
      <c r="B534" s="2">
        <v>45924.5</v>
      </c>
      <c r="C534" t="s">
        <v>37</v>
      </c>
      <c r="D534" t="s">
        <f>'客户档案'!B3</f>
        <v>38</v>
      </c>
      <c r="E534" t="s">
        <v>39</v>
      </c>
      <c r="F534" t="s">
        <v>40</v>
      </c>
      <c r="G534" t="s">
        <f>'商品目录'!B3</f>
        <v>41</v>
      </c>
      <c r="H534" t="s">
        <v>42</v>
      </c>
      <c r="I534">
        <v>8</v>
      </c>
      <c r="J534" s="4">
        <v>99</v>
      </c>
      <c r="K534" s="4">
        <f>I534*J534</f>
        <v>792</v>
      </c>
      <c r="L534" s="3">
        <v>0</v>
      </c>
      <c r="M534" s="4">
        <f>K534*L534</f>
        <v>0</v>
      </c>
      <c r="N534" s="4">
        <v>0</v>
      </c>
      <c r="O534" s="4">
        <f>K534-M534+N534</f>
        <v>792</v>
      </c>
      <c r="P534" t="s">
        <v>43</v>
      </c>
      <c r="Q534" t="b">
        <v>0</v>
      </c>
      <c r="R534" t="s">
        <v>44</v>
      </c>
      <c r="S534" t="s">
        <v>45</v>
      </c>
      <c r="T534" t="s">
        <v>46</v>
      </c>
      <c r="U534" t="s">
        <v>39</v>
      </c>
      <c r="V534" t="s">
        <v>38</v>
      </c>
      <c r="W534" t="s">
        <v>1130</v>
      </c>
      <c r="X534" t="s">
        <v>0</v>
      </c>
      <c r="Y534">
        <v>9007199254741521</v>
      </c>
      <c r="Z534">
        <v>0</v>
      </c>
      <c r="AA534" t="s">
        <v>38</v>
      </c>
      <c r="AB534" t="b">
        <v>0</v>
      </c>
      <c r="AD534" s="3">
        <v>0.125</v>
      </c>
      <c r="AE534" s="2">
        <v>45926.5</v>
      </c>
      <c r="AF534" t="s">
        <v>60</v>
      </c>
    </row>
    <row r="535">
      <c r="A535" t="s">
        <v>1131</v>
      </c>
      <c r="B535" s="2">
        <v>45925.5</v>
      </c>
      <c r="C535" t="s">
        <v>49</v>
      </c>
      <c r="D535" t="s">
        <f>'客户档案'!B4</f>
        <v>50</v>
      </c>
      <c r="E535" t="s">
        <v>51</v>
      </c>
      <c r="F535" t="s">
        <v>52</v>
      </c>
      <c r="G535" t="s">
        <f>'商品目录'!B4</f>
        <v>53</v>
      </c>
      <c r="H535" t="s">
        <v>54</v>
      </c>
      <c r="I535">
        <v>10</v>
      </c>
      <c r="J535" s="4">
        <v>129</v>
      </c>
      <c r="K535" s="4">
        <f>I535*J535</f>
        <v>1290</v>
      </c>
      <c r="L535" s="3">
        <v>0.5</v>
      </c>
      <c r="M535" s="4">
        <f>K535*L535</f>
        <v>645</v>
      </c>
      <c r="N535" s="4">
        <v>10</v>
      </c>
      <c r="O535" s="4">
        <f>K535-M535+N535</f>
        <v>655</v>
      </c>
      <c r="P535" t="s">
        <v>43</v>
      </c>
      <c r="Q535" t="b">
        <v>1</v>
      </c>
      <c r="R535" t="s">
        <v>55</v>
      </c>
      <c r="S535" t="s">
        <v>56</v>
      </c>
      <c r="T535" t="s">
        <v>57</v>
      </c>
      <c r="U535" t="s">
        <v>51</v>
      </c>
      <c r="V535" t="s">
        <v>50</v>
      </c>
      <c r="W535" t="s">
        <v>1132</v>
      </c>
      <c r="X535" t="s">
        <v>59</v>
      </c>
      <c r="Y535">
        <v>9007199254741522</v>
      </c>
      <c r="Z535">
        <v>0</v>
      </c>
      <c r="AA535" t="s">
        <v>50</v>
      </c>
      <c r="AB535" t="b">
        <v>1</v>
      </c>
      <c r="AD535" s="3">
        <v>0.125</v>
      </c>
      <c r="AE535" s="2">
        <v>45927.5</v>
      </c>
      <c r="AF535" t="s">
        <v>60</v>
      </c>
    </row>
    <row r="536">
      <c r="A536" t="s">
        <v>1133</v>
      </c>
      <c r="B536" s="2">
        <v>45926.5</v>
      </c>
      <c r="C536" t="s">
        <v>62</v>
      </c>
      <c r="D536" t="s">
        <f>'客户档案'!B5</f>
        <v>63</v>
      </c>
      <c r="E536" t="s">
        <v>64</v>
      </c>
      <c r="F536" t="s">
        <v>65</v>
      </c>
      <c r="G536" t="s">
        <f>'商品目录'!B5</f>
        <v>66</v>
      </c>
      <c r="H536" t="s">
        <v>67</v>
      </c>
      <c r="I536">
        <v>2</v>
      </c>
      <c r="J536" s="4">
        <v>45</v>
      </c>
      <c r="K536" s="4">
        <f>I536*J536</f>
        <v>90</v>
      </c>
      <c r="L536" s="3">
        <v>0</v>
      </c>
      <c r="M536" s="4">
        <f>K536*L536</f>
        <v>0</v>
      </c>
      <c r="N536" s="4">
        <v>20</v>
      </c>
      <c r="O536" s="4">
        <f>K536-M536+N536</f>
        <v>110</v>
      </c>
      <c r="P536" t="s">
        <v>43</v>
      </c>
      <c r="Q536" t="b">
        <v>1</v>
      </c>
      <c r="R536" t="s">
        <v>55</v>
      </c>
      <c r="S536" t="s">
        <v>68</v>
      </c>
      <c r="T536" t="s">
        <v>69</v>
      </c>
      <c r="U536" t="s">
        <v>70</v>
      </c>
      <c r="V536" t="s">
        <v>63</v>
      </c>
      <c r="W536" t="s">
        <v>1134</v>
      </c>
      <c r="X536" t="s">
        <v>72</v>
      </c>
      <c r="Y536">
        <v>9007199254741523</v>
      </c>
      <c r="Z536">
        <v>0</v>
      </c>
      <c r="AA536" t="s">
        <v>63</v>
      </c>
      <c r="AB536" t="b">
        <v>0</v>
      </c>
      <c r="AD536" s="3">
        <v>0.125</v>
      </c>
      <c r="AE536" s="2">
        <v>45928.5</v>
      </c>
      <c r="AF536" t="s">
        <v>60</v>
      </c>
    </row>
    <row r="537">
      <c r="A537" t="s">
        <v>1135</v>
      </c>
      <c r="B537" s="2">
        <v>45927.5</v>
      </c>
      <c r="C537" t="s">
        <v>37</v>
      </c>
      <c r="D537" t="s">
        <f>'客户档案'!B3</f>
        <v>38</v>
      </c>
      <c r="E537" t="s">
        <v>74</v>
      </c>
      <c r="F537" t="s">
        <v>75</v>
      </c>
      <c r="G537" t="s">
        <f>'商品目录'!B6</f>
        <v>76</v>
      </c>
      <c r="H537" t="s">
        <v>77</v>
      </c>
      <c r="I537">
        <v>4</v>
      </c>
      <c r="J537" s="4">
        <v>8</v>
      </c>
      <c r="K537" s="4">
        <f>I537*J537</f>
        <v>32</v>
      </c>
      <c r="L537" s="3">
        <v>0.5</v>
      </c>
      <c r="M537" s="4">
        <f>K537*L537</f>
        <v>16</v>
      </c>
      <c r="N537" s="4">
        <v>0</v>
      </c>
      <c r="O537" s="4">
        <f>K537-M537+N537</f>
        <v>16</v>
      </c>
      <c r="P537" t="s">
        <v>43</v>
      </c>
      <c r="Q537" t="b">
        <v>1</v>
      </c>
      <c r="R537" t="s">
        <v>55</v>
      </c>
      <c r="S537" t="s">
        <v>45</v>
      </c>
      <c r="T537" t="s">
        <v>46</v>
      </c>
      <c r="U537" t="s">
        <v>78</v>
      </c>
      <c r="V537" t="s">
        <v>38</v>
      </c>
      <c r="W537" t="s">
        <v>1136</v>
      </c>
      <c r="X537" t="s">
        <v>80</v>
      </c>
      <c r="Y537">
        <v>9007199254741524</v>
      </c>
      <c r="Z537">
        <v>0</v>
      </c>
      <c r="AA537" t="s">
        <v>38</v>
      </c>
      <c r="AB537" t="b">
        <v>1</v>
      </c>
      <c r="AD537" s="3">
        <v>0.125</v>
      </c>
      <c r="AE537" s="2">
        <v>45929.5</v>
      </c>
      <c r="AF537" t="s">
        <v>60</v>
      </c>
    </row>
    <row r="538">
      <c r="A538" t="s">
        <v>1137</v>
      </c>
      <c r="B538" s="2">
        <v>45900.5</v>
      </c>
      <c r="C538" t="s">
        <v>49</v>
      </c>
      <c r="D538" t="s">
        <f>'客户档案'!B4</f>
        <v>50</v>
      </c>
      <c r="E538" t="s">
        <v>39</v>
      </c>
      <c r="F538" t="s">
        <v>40</v>
      </c>
      <c r="G538" t="s">
        <f>'商品目录'!B3</f>
        <v>41</v>
      </c>
      <c r="H538" t="s">
        <v>42</v>
      </c>
      <c r="I538">
        <v>6</v>
      </c>
      <c r="J538" s="4">
        <v>99</v>
      </c>
      <c r="K538" s="4">
        <f>I538*J538</f>
        <v>594</v>
      </c>
      <c r="L538" s="3">
        <v>0</v>
      </c>
      <c r="M538" s="4">
        <f>K538*L538</f>
        <v>0</v>
      </c>
      <c r="N538" s="4">
        <v>10</v>
      </c>
      <c r="O538" s="4">
        <f>K538-M538+N538</f>
        <v>604</v>
      </c>
      <c r="P538" t="s">
        <v>43</v>
      </c>
      <c r="Q538" t="b">
        <v>0</v>
      </c>
      <c r="R538" t="s">
        <v>44</v>
      </c>
      <c r="S538" t="s">
        <v>56</v>
      </c>
      <c r="T538" t="s">
        <v>57</v>
      </c>
      <c r="U538" t="s">
        <v>39</v>
      </c>
      <c r="V538" t="s">
        <v>50</v>
      </c>
      <c r="W538" t="s">
        <v>1138</v>
      </c>
      <c r="X538" t="s">
        <v>0</v>
      </c>
      <c r="Y538">
        <v>9007199254741525</v>
      </c>
      <c r="Z538">
        <v>0</v>
      </c>
      <c r="AA538" t="s">
        <v>50</v>
      </c>
      <c r="AB538" t="b">
        <v>0</v>
      </c>
      <c r="AD538" s="3">
        <v>0.125</v>
      </c>
      <c r="AE538" s="2">
        <v>45902.5</v>
      </c>
      <c r="AF538" t="s">
        <v>60</v>
      </c>
    </row>
    <row r="539">
      <c r="A539" t="s">
        <v>1139</v>
      </c>
      <c r="B539" s="2">
        <v>45901.5</v>
      </c>
      <c r="C539" t="s">
        <v>62</v>
      </c>
      <c r="D539" t="s">
        <f>'客户档案'!B5</f>
        <v>63</v>
      </c>
      <c r="E539" t="s">
        <v>51</v>
      </c>
      <c r="F539" t="s">
        <v>52</v>
      </c>
      <c r="G539" t="s">
        <f>'商品目录'!B4</f>
        <v>53</v>
      </c>
      <c r="H539" t="s">
        <v>54</v>
      </c>
      <c r="I539">
        <v>8</v>
      </c>
      <c r="J539" s="4">
        <v>129</v>
      </c>
      <c r="K539" s="4">
        <f>I539*J539</f>
        <v>1032</v>
      </c>
      <c r="L539" s="3">
        <v>0.5</v>
      </c>
      <c r="M539" s="4">
        <f>K539*L539</f>
        <v>516</v>
      </c>
      <c r="N539" s="4">
        <v>20</v>
      </c>
      <c r="O539" s="4">
        <f>K539-M539+N539</f>
        <v>536</v>
      </c>
      <c r="P539" t="s">
        <v>43</v>
      </c>
      <c r="Q539" t="b">
        <v>1</v>
      </c>
      <c r="R539" t="s">
        <v>55</v>
      </c>
      <c r="S539" t="s">
        <v>68</v>
      </c>
      <c r="T539" t="s">
        <v>69</v>
      </c>
      <c r="U539" t="s">
        <v>51</v>
      </c>
      <c r="V539" t="s">
        <v>63</v>
      </c>
      <c r="W539" t="s">
        <v>1140</v>
      </c>
      <c r="X539" t="s">
        <v>59</v>
      </c>
      <c r="Y539">
        <v>9007199254741526</v>
      </c>
      <c r="Z539">
        <v>0</v>
      </c>
      <c r="AA539" t="s">
        <v>63</v>
      </c>
      <c r="AB539" t="b">
        <v>1</v>
      </c>
      <c r="AD539" s="3">
        <v>0.125</v>
      </c>
      <c r="AE539" s="2">
        <v>45903.5</v>
      </c>
      <c r="AF539" t="s">
        <v>60</v>
      </c>
    </row>
    <row r="540">
      <c r="A540" t="s">
        <v>1141</v>
      </c>
      <c r="B540" s="2">
        <v>45902.5</v>
      </c>
      <c r="C540" t="s">
        <v>37</v>
      </c>
      <c r="D540" t="s">
        <f>'客户档案'!B3</f>
        <v>38</v>
      </c>
      <c r="E540" t="s">
        <v>64</v>
      </c>
      <c r="F540" t="s">
        <v>65</v>
      </c>
      <c r="G540" t="s">
        <f>'商品目录'!B5</f>
        <v>66</v>
      </c>
      <c r="H540" t="s">
        <v>67</v>
      </c>
      <c r="I540">
        <v>10</v>
      </c>
      <c r="J540" s="4">
        <v>45</v>
      </c>
      <c r="K540" s="4">
        <f>I540*J540</f>
        <v>450</v>
      </c>
      <c r="L540" s="3">
        <v>0</v>
      </c>
      <c r="M540" s="4">
        <f>K540*L540</f>
        <v>0</v>
      </c>
      <c r="N540" s="4">
        <v>0</v>
      </c>
      <c r="O540" s="4">
        <f>K540-M540+N540</f>
        <v>450</v>
      </c>
      <c r="P540" t="s">
        <v>43</v>
      </c>
      <c r="Q540" t="b">
        <v>1</v>
      </c>
      <c r="R540" t="s">
        <v>55</v>
      </c>
      <c r="S540" t="s">
        <v>45</v>
      </c>
      <c r="T540" t="s">
        <v>46</v>
      </c>
      <c r="U540" t="s">
        <v>70</v>
      </c>
      <c r="V540" t="s">
        <v>38</v>
      </c>
      <c r="W540" t="s">
        <v>1142</v>
      </c>
      <c r="X540" t="s">
        <v>72</v>
      </c>
      <c r="Y540">
        <v>9007199254741527</v>
      </c>
      <c r="Z540">
        <v>0</v>
      </c>
      <c r="AA540" t="s">
        <v>38</v>
      </c>
      <c r="AB540" t="b">
        <v>0</v>
      </c>
      <c r="AD540" s="3">
        <v>0.125</v>
      </c>
      <c r="AE540" s="2">
        <v>45904.5</v>
      </c>
      <c r="AF540" t="s">
        <v>60</v>
      </c>
    </row>
    <row r="541">
      <c r="A541" t="s">
        <v>1143</v>
      </c>
      <c r="B541" s="2">
        <v>45903.5</v>
      </c>
      <c r="C541" t="s">
        <v>49</v>
      </c>
      <c r="D541" t="s">
        <f>'客户档案'!B4</f>
        <v>50</v>
      </c>
      <c r="E541" t="s">
        <v>74</v>
      </c>
      <c r="F541" t="s">
        <v>75</v>
      </c>
      <c r="G541" t="s">
        <f>'商品目录'!B6</f>
        <v>76</v>
      </c>
      <c r="H541" t="s">
        <v>77</v>
      </c>
      <c r="I541">
        <v>2</v>
      </c>
      <c r="J541" s="4">
        <v>8</v>
      </c>
      <c r="K541" s="4">
        <f>I541*J541</f>
        <v>16</v>
      </c>
      <c r="L541" s="3">
        <v>0.5</v>
      </c>
      <c r="M541" s="4">
        <f>K541*L541</f>
        <v>8</v>
      </c>
      <c r="N541" s="4">
        <v>10</v>
      </c>
      <c r="O541" s="4">
        <f>K541-M541+N541</f>
        <v>18</v>
      </c>
      <c r="P541" t="s">
        <v>43</v>
      </c>
      <c r="Q541" t="b">
        <v>1</v>
      </c>
      <c r="R541" t="s">
        <v>55</v>
      </c>
      <c r="S541" t="s">
        <v>56</v>
      </c>
      <c r="T541" t="s">
        <v>57</v>
      </c>
      <c r="U541" t="s">
        <v>78</v>
      </c>
      <c r="V541" t="s">
        <v>50</v>
      </c>
      <c r="W541" t="s">
        <v>1144</v>
      </c>
      <c r="X541" t="s">
        <v>80</v>
      </c>
      <c r="Y541">
        <v>9007199254741528</v>
      </c>
      <c r="Z541">
        <v>0</v>
      </c>
      <c r="AA541" t="s">
        <v>50</v>
      </c>
      <c r="AB541" t="b">
        <v>1</v>
      </c>
      <c r="AD541" s="3">
        <v>0.125</v>
      </c>
      <c r="AE541" s="2">
        <v>45905.5</v>
      </c>
      <c r="AF541" t="s">
        <v>60</v>
      </c>
    </row>
    <row r="542">
      <c r="A542" t="s">
        <v>1145</v>
      </c>
      <c r="B542" s="2">
        <v>45904.5</v>
      </c>
      <c r="C542" t="s">
        <v>62</v>
      </c>
      <c r="D542" t="s">
        <f>'客户档案'!B5</f>
        <v>63</v>
      </c>
      <c r="E542" t="s">
        <v>39</v>
      </c>
      <c r="F542" t="s">
        <v>40</v>
      </c>
      <c r="G542" t="s">
        <f>'商品目录'!B3</f>
        <v>41</v>
      </c>
      <c r="H542" t="s">
        <v>42</v>
      </c>
      <c r="I542">
        <v>4</v>
      </c>
      <c r="J542" s="4">
        <v>99</v>
      </c>
      <c r="K542" s="4">
        <f>I542*J542</f>
        <v>396</v>
      </c>
      <c r="L542" s="3">
        <v>0</v>
      </c>
      <c r="M542" s="4">
        <f>K542*L542</f>
        <v>0</v>
      </c>
      <c r="N542" s="4">
        <v>20</v>
      </c>
      <c r="O542" s="4">
        <f>K542-M542+N542</f>
        <v>416</v>
      </c>
      <c r="P542" t="s">
        <v>43</v>
      </c>
      <c r="Q542" t="b">
        <v>0</v>
      </c>
      <c r="R542" t="s">
        <v>44</v>
      </c>
      <c r="S542" t="s">
        <v>68</v>
      </c>
      <c r="T542" t="s">
        <v>69</v>
      </c>
      <c r="U542" t="s">
        <v>39</v>
      </c>
      <c r="V542" t="s">
        <v>63</v>
      </c>
      <c r="W542" t="s">
        <v>1146</v>
      </c>
      <c r="X542" t="s">
        <v>0</v>
      </c>
      <c r="Y542">
        <v>9007199254741529</v>
      </c>
      <c r="Z542">
        <v>0</v>
      </c>
      <c r="AA542" t="s">
        <v>63</v>
      </c>
      <c r="AB542" t="b">
        <v>0</v>
      </c>
      <c r="AD542" s="3">
        <v>0.125</v>
      </c>
      <c r="AE542" s="2">
        <v>45906.5</v>
      </c>
      <c r="AF542" t="s">
        <v>60</v>
      </c>
    </row>
    <row r="543">
      <c r="A543" t="s">
        <v>1147</v>
      </c>
      <c r="B543" s="2">
        <v>45905.5</v>
      </c>
      <c r="C543" t="s">
        <v>37</v>
      </c>
      <c r="D543" t="s">
        <f>'客户档案'!B3</f>
        <v>38</v>
      </c>
      <c r="E543" t="s">
        <v>51</v>
      </c>
      <c r="F543" t="s">
        <v>52</v>
      </c>
      <c r="G543" t="s">
        <f>'商品目录'!B4</f>
        <v>53</v>
      </c>
      <c r="H543" t="s">
        <v>54</v>
      </c>
      <c r="I543">
        <v>6</v>
      </c>
      <c r="J543" s="4">
        <v>129</v>
      </c>
      <c r="K543" s="4">
        <f>I543*J543</f>
        <v>774</v>
      </c>
      <c r="L543" s="3">
        <v>0.5</v>
      </c>
      <c r="M543" s="4">
        <f>K543*L543</f>
        <v>387</v>
      </c>
      <c r="N543" s="4">
        <v>0</v>
      </c>
      <c r="O543" s="4">
        <f>K543-M543+N543</f>
        <v>387</v>
      </c>
      <c r="P543" t="s">
        <v>43</v>
      </c>
      <c r="Q543" t="b">
        <v>1</v>
      </c>
      <c r="R543" t="s">
        <v>55</v>
      </c>
      <c r="S543" t="s">
        <v>45</v>
      </c>
      <c r="T543" t="s">
        <v>46</v>
      </c>
      <c r="U543" t="s">
        <v>51</v>
      </c>
      <c r="V543" t="s">
        <v>38</v>
      </c>
      <c r="W543" t="s">
        <v>1148</v>
      </c>
      <c r="X543" t="s">
        <v>59</v>
      </c>
      <c r="Y543">
        <v>9007199254741530</v>
      </c>
      <c r="Z543">
        <v>0</v>
      </c>
      <c r="AA543" t="s">
        <v>38</v>
      </c>
      <c r="AB543" t="b">
        <v>1</v>
      </c>
      <c r="AD543" s="3">
        <v>0.125</v>
      </c>
      <c r="AE543" s="2">
        <v>45907.5</v>
      </c>
      <c r="AF543" t="s">
        <v>60</v>
      </c>
    </row>
    <row r="544">
      <c r="A544" t="s">
        <v>1149</v>
      </c>
      <c r="B544" s="2">
        <v>45906.5</v>
      </c>
      <c r="C544" t="s">
        <v>49</v>
      </c>
      <c r="D544" t="s">
        <f>'客户档案'!B4</f>
        <v>50</v>
      </c>
      <c r="E544" t="s">
        <v>64</v>
      </c>
      <c r="F544" t="s">
        <v>65</v>
      </c>
      <c r="G544" t="s">
        <f>'商品目录'!B5</f>
        <v>66</v>
      </c>
      <c r="H544" t="s">
        <v>67</v>
      </c>
      <c r="I544">
        <v>8</v>
      </c>
      <c r="J544" s="4">
        <v>45</v>
      </c>
      <c r="K544" s="4">
        <f>I544*J544</f>
        <v>360</v>
      </c>
      <c r="L544" s="3">
        <v>0</v>
      </c>
      <c r="M544" s="4">
        <f>K544*L544</f>
        <v>0</v>
      </c>
      <c r="N544" s="4">
        <v>10</v>
      </c>
      <c r="O544" s="4">
        <f>K544-M544+N544</f>
        <v>370</v>
      </c>
      <c r="P544" t="s">
        <v>43</v>
      </c>
      <c r="Q544" t="b">
        <v>1</v>
      </c>
      <c r="R544" t="s">
        <v>55</v>
      </c>
      <c r="S544" t="s">
        <v>56</v>
      </c>
      <c r="T544" t="s">
        <v>57</v>
      </c>
      <c r="U544" t="s">
        <v>70</v>
      </c>
      <c r="V544" t="s">
        <v>50</v>
      </c>
      <c r="W544" t="s">
        <v>1150</v>
      </c>
      <c r="X544" t="s">
        <v>72</v>
      </c>
      <c r="Y544">
        <v>9007199254741531</v>
      </c>
      <c r="Z544">
        <v>0</v>
      </c>
      <c r="AA544" t="s">
        <v>50</v>
      </c>
      <c r="AB544" t="b">
        <v>0</v>
      </c>
      <c r="AD544" s="3">
        <v>0.125</v>
      </c>
      <c r="AE544" s="2">
        <v>45908.5</v>
      </c>
      <c r="AF544" t="s">
        <v>60</v>
      </c>
    </row>
    <row r="545">
      <c r="A545" t="s">
        <v>1151</v>
      </c>
      <c r="B545" s="2">
        <v>45907.5</v>
      </c>
      <c r="C545" t="s">
        <v>62</v>
      </c>
      <c r="D545" t="s">
        <f>'客户档案'!B5</f>
        <v>63</v>
      </c>
      <c r="E545" t="s">
        <v>74</v>
      </c>
      <c r="F545" t="s">
        <v>75</v>
      </c>
      <c r="G545" t="s">
        <f>'商品目录'!B6</f>
        <v>76</v>
      </c>
      <c r="H545" t="s">
        <v>77</v>
      </c>
      <c r="I545">
        <v>10</v>
      </c>
      <c r="J545" s="4">
        <v>8</v>
      </c>
      <c r="K545" s="4">
        <f>I545*J545</f>
        <v>80</v>
      </c>
      <c r="L545" s="3">
        <v>0.5</v>
      </c>
      <c r="M545" s="4">
        <f>K545*L545</f>
        <v>40</v>
      </c>
      <c r="N545" s="4">
        <v>20</v>
      </c>
      <c r="O545" s="4">
        <f>K545-M545+N545</f>
        <v>60</v>
      </c>
      <c r="P545" t="s">
        <v>43</v>
      </c>
      <c r="Q545" t="b">
        <v>1</v>
      </c>
      <c r="R545" t="s">
        <v>55</v>
      </c>
      <c r="S545" t="s">
        <v>68</v>
      </c>
      <c r="T545" t="s">
        <v>69</v>
      </c>
      <c r="U545" t="s">
        <v>78</v>
      </c>
      <c r="V545" t="s">
        <v>63</v>
      </c>
      <c r="W545" t="s">
        <v>1152</v>
      </c>
      <c r="X545" t="s">
        <v>80</v>
      </c>
      <c r="Y545">
        <v>9007199254741532</v>
      </c>
      <c r="Z545">
        <v>0</v>
      </c>
      <c r="AA545" t="s">
        <v>63</v>
      </c>
      <c r="AB545" t="b">
        <v>1</v>
      </c>
      <c r="AD545" s="3">
        <v>0.125</v>
      </c>
      <c r="AE545" s="2">
        <v>45909.5</v>
      </c>
      <c r="AF545" t="s">
        <v>60</v>
      </c>
    </row>
    <row r="546">
      <c r="A546" t="s">
        <v>1153</v>
      </c>
      <c r="B546" s="2">
        <v>45908.5</v>
      </c>
      <c r="C546" t="s">
        <v>37</v>
      </c>
      <c r="D546" t="s">
        <f>'客户档案'!B3</f>
        <v>38</v>
      </c>
      <c r="E546" t="s">
        <v>39</v>
      </c>
      <c r="F546" t="s">
        <v>40</v>
      </c>
      <c r="G546" t="s">
        <f>'商品目录'!B3</f>
        <v>41</v>
      </c>
      <c r="H546" t="s">
        <v>42</v>
      </c>
      <c r="I546">
        <v>2</v>
      </c>
      <c r="J546" s="4">
        <v>99</v>
      </c>
      <c r="K546" s="4">
        <f>I546*J546</f>
        <v>198</v>
      </c>
      <c r="L546" s="3">
        <v>0</v>
      </c>
      <c r="M546" s="4">
        <f>K546*L546</f>
        <v>0</v>
      </c>
      <c r="N546" s="4">
        <v>0</v>
      </c>
      <c r="O546" s="4">
        <f>K546-M546+N546</f>
        <v>198</v>
      </c>
      <c r="P546" t="s">
        <v>43</v>
      </c>
      <c r="Q546" t="b">
        <v>0</v>
      </c>
      <c r="R546" t="s">
        <v>44</v>
      </c>
      <c r="S546" t="s">
        <v>45</v>
      </c>
      <c r="T546" t="s">
        <v>46</v>
      </c>
      <c r="U546" t="s">
        <v>39</v>
      </c>
      <c r="V546" t="s">
        <v>38</v>
      </c>
      <c r="W546" t="s">
        <v>1154</v>
      </c>
      <c r="X546" t="s">
        <v>0</v>
      </c>
      <c r="Y546">
        <v>9007199254741533</v>
      </c>
      <c r="Z546">
        <v>0</v>
      </c>
      <c r="AA546" t="s">
        <v>38</v>
      </c>
      <c r="AB546" t="b">
        <v>0</v>
      </c>
      <c r="AD546" s="3">
        <v>0.125</v>
      </c>
      <c r="AE546" s="2">
        <v>45910.5</v>
      </c>
      <c r="AF546" t="s">
        <v>60</v>
      </c>
    </row>
    <row r="547">
      <c r="A547" t="s">
        <v>1155</v>
      </c>
      <c r="B547" s="2">
        <v>45909.5</v>
      </c>
      <c r="C547" t="s">
        <v>49</v>
      </c>
      <c r="D547" t="s">
        <f>'客户档案'!B4</f>
        <v>50</v>
      </c>
      <c r="E547" t="s">
        <v>51</v>
      </c>
      <c r="F547" t="s">
        <v>52</v>
      </c>
      <c r="G547" t="s">
        <f>'商品目录'!B4</f>
        <v>53</v>
      </c>
      <c r="H547" t="s">
        <v>54</v>
      </c>
      <c r="I547">
        <v>4</v>
      </c>
      <c r="J547" s="4">
        <v>129</v>
      </c>
      <c r="K547" s="4">
        <f>I547*J547</f>
        <v>516</v>
      </c>
      <c r="L547" s="3">
        <v>0.5</v>
      </c>
      <c r="M547" s="4">
        <f>K547*L547</f>
        <v>258</v>
      </c>
      <c r="N547" s="4">
        <v>10</v>
      </c>
      <c r="O547" s="4">
        <f>K547-M547+N547</f>
        <v>268</v>
      </c>
      <c r="P547" t="s">
        <v>43</v>
      </c>
      <c r="Q547" t="b">
        <v>1</v>
      </c>
      <c r="R547" t="s">
        <v>55</v>
      </c>
      <c r="S547" t="s">
        <v>56</v>
      </c>
      <c r="T547" t="s">
        <v>57</v>
      </c>
      <c r="U547" t="s">
        <v>51</v>
      </c>
      <c r="V547" t="s">
        <v>50</v>
      </c>
      <c r="W547" t="s">
        <v>1156</v>
      </c>
      <c r="X547" t="s">
        <v>59</v>
      </c>
      <c r="Y547">
        <v>9007199254741534</v>
      </c>
      <c r="Z547">
        <v>0</v>
      </c>
      <c r="AA547" t="s">
        <v>50</v>
      </c>
      <c r="AB547" t="b">
        <v>1</v>
      </c>
      <c r="AD547" s="3">
        <v>0.125</v>
      </c>
      <c r="AE547" s="2">
        <v>45911.5</v>
      </c>
      <c r="AF547" t="s">
        <v>60</v>
      </c>
    </row>
    <row r="548">
      <c r="A548" t="s">
        <v>1157</v>
      </c>
      <c r="B548" s="2">
        <v>45910.5</v>
      </c>
      <c r="C548" t="s">
        <v>62</v>
      </c>
      <c r="D548" t="s">
        <f>'客户档案'!B5</f>
        <v>63</v>
      </c>
      <c r="E548" t="s">
        <v>64</v>
      </c>
      <c r="F548" t="s">
        <v>65</v>
      </c>
      <c r="G548" t="s">
        <f>'商品目录'!B5</f>
        <v>66</v>
      </c>
      <c r="H548" t="s">
        <v>67</v>
      </c>
      <c r="I548">
        <v>6</v>
      </c>
      <c r="J548" s="4">
        <v>45</v>
      </c>
      <c r="K548" s="4">
        <f>I548*J548</f>
        <v>270</v>
      </c>
      <c r="L548" s="3">
        <v>0</v>
      </c>
      <c r="M548" s="4">
        <f>K548*L548</f>
        <v>0</v>
      </c>
      <c r="N548" s="4">
        <v>20</v>
      </c>
      <c r="O548" s="4">
        <f>K548-M548+N548</f>
        <v>290</v>
      </c>
      <c r="P548" t="s">
        <v>43</v>
      </c>
      <c r="Q548" t="b">
        <v>1</v>
      </c>
      <c r="R548" t="s">
        <v>55</v>
      </c>
      <c r="S548" t="s">
        <v>68</v>
      </c>
      <c r="T548" t="s">
        <v>69</v>
      </c>
      <c r="U548" t="s">
        <v>70</v>
      </c>
      <c r="V548" t="s">
        <v>63</v>
      </c>
      <c r="W548" t="s">
        <v>1158</v>
      </c>
      <c r="X548" t="s">
        <v>72</v>
      </c>
      <c r="Y548">
        <v>9007199254741535</v>
      </c>
      <c r="Z548">
        <v>0</v>
      </c>
      <c r="AA548" t="s">
        <v>63</v>
      </c>
      <c r="AB548" t="b">
        <v>0</v>
      </c>
      <c r="AD548" s="3">
        <v>0.125</v>
      </c>
      <c r="AE548" s="2">
        <v>45912.5</v>
      </c>
      <c r="AF548" t="s">
        <v>60</v>
      </c>
    </row>
    <row r="549">
      <c r="A549" t="s">
        <v>1159</v>
      </c>
      <c r="B549" s="2">
        <v>45911.5</v>
      </c>
      <c r="C549" t="s">
        <v>37</v>
      </c>
      <c r="D549" t="s">
        <f>'客户档案'!B3</f>
        <v>38</v>
      </c>
      <c r="E549" t="s">
        <v>74</v>
      </c>
      <c r="F549" t="s">
        <v>75</v>
      </c>
      <c r="G549" t="s">
        <f>'商品目录'!B6</f>
        <v>76</v>
      </c>
      <c r="H549" t="s">
        <v>77</v>
      </c>
      <c r="I549">
        <v>8</v>
      </c>
      <c r="J549" s="4">
        <v>8</v>
      </c>
      <c r="K549" s="4">
        <f>I549*J549</f>
        <v>64</v>
      </c>
      <c r="L549" s="3">
        <v>0.5</v>
      </c>
      <c r="M549" s="4">
        <f>K549*L549</f>
        <v>32</v>
      </c>
      <c r="N549" s="4">
        <v>0</v>
      </c>
      <c r="O549" s="4">
        <f>K549-M549+N549</f>
        <v>32</v>
      </c>
      <c r="P549" t="s">
        <v>43</v>
      </c>
      <c r="Q549" t="b">
        <v>1</v>
      </c>
      <c r="R549" t="s">
        <v>55</v>
      </c>
      <c r="S549" t="s">
        <v>45</v>
      </c>
      <c r="T549" t="s">
        <v>46</v>
      </c>
      <c r="U549" t="s">
        <v>78</v>
      </c>
      <c r="V549" t="s">
        <v>38</v>
      </c>
      <c r="W549" t="s">
        <v>1160</v>
      </c>
      <c r="X549" t="s">
        <v>80</v>
      </c>
      <c r="Y549">
        <v>9007199254741536</v>
      </c>
      <c r="Z549">
        <v>0</v>
      </c>
      <c r="AA549" t="s">
        <v>38</v>
      </c>
      <c r="AB549" t="b">
        <v>1</v>
      </c>
      <c r="AD549" s="3">
        <v>0.125</v>
      </c>
      <c r="AE549" s="2">
        <v>45913.5</v>
      </c>
      <c r="AF549" t="s">
        <v>60</v>
      </c>
    </row>
    <row r="550">
      <c r="A550" t="s">
        <v>1161</v>
      </c>
      <c r="B550" s="2">
        <v>45912.5</v>
      </c>
      <c r="C550" t="s">
        <v>49</v>
      </c>
      <c r="D550" t="s">
        <f>'客户档案'!B4</f>
        <v>50</v>
      </c>
      <c r="E550" t="s">
        <v>39</v>
      </c>
      <c r="F550" t="s">
        <v>40</v>
      </c>
      <c r="G550" t="s">
        <f>'商品目录'!B3</f>
        <v>41</v>
      </c>
      <c r="H550" t="s">
        <v>42</v>
      </c>
      <c r="I550">
        <v>10</v>
      </c>
      <c r="J550" s="4">
        <v>99</v>
      </c>
      <c r="K550" s="4">
        <f>I550*J550</f>
        <v>990</v>
      </c>
      <c r="L550" s="3">
        <v>0</v>
      </c>
      <c r="M550" s="4">
        <f>K550*L550</f>
        <v>0</v>
      </c>
      <c r="N550" s="4">
        <v>10</v>
      </c>
      <c r="O550" s="4">
        <f>K550-M550+N550</f>
        <v>1000</v>
      </c>
      <c r="P550" t="s">
        <v>43</v>
      </c>
      <c r="Q550" t="b">
        <v>0</v>
      </c>
      <c r="R550" t="s">
        <v>44</v>
      </c>
      <c r="S550" t="s">
        <v>56</v>
      </c>
      <c r="T550" t="s">
        <v>57</v>
      </c>
      <c r="U550" t="s">
        <v>39</v>
      </c>
      <c r="V550" t="s">
        <v>50</v>
      </c>
      <c r="W550" t="s">
        <v>1162</v>
      </c>
      <c r="X550" t="s">
        <v>0</v>
      </c>
      <c r="Y550">
        <v>9007199254741537</v>
      </c>
      <c r="Z550">
        <v>2</v>
      </c>
      <c r="AA550" t="s">
        <v>50</v>
      </c>
      <c r="AB550" t="b">
        <v>0</v>
      </c>
      <c r="AD550" s="3">
        <v>0.125</v>
      </c>
      <c r="AE550" s="2">
        <v>45914.5</v>
      </c>
      <c r="AF550" t="s">
        <v>60</v>
      </c>
    </row>
    <row r="551">
      <c r="A551" t="s">
        <v>1163</v>
      </c>
      <c r="B551" s="2">
        <v>45913.5</v>
      </c>
      <c r="C551" t="s">
        <v>62</v>
      </c>
      <c r="D551" t="s">
        <f>'客户档案'!B5</f>
        <v>63</v>
      </c>
      <c r="E551" t="s">
        <v>51</v>
      </c>
      <c r="F551" t="s">
        <v>52</v>
      </c>
      <c r="G551" t="s">
        <f>'商品目录'!B4</f>
        <v>53</v>
      </c>
      <c r="H551" t="s">
        <v>54</v>
      </c>
      <c r="I551">
        <v>2</v>
      </c>
      <c r="J551" s="4">
        <v>129</v>
      </c>
      <c r="K551" s="4">
        <f>I551*J551</f>
        <v>258</v>
      </c>
      <c r="L551" s="3">
        <v>0.5</v>
      </c>
      <c r="M551" s="4">
        <f>K551*L551</f>
        <v>129</v>
      </c>
      <c r="N551" s="4">
        <v>20</v>
      </c>
      <c r="O551" s="4">
        <f>K551-M551+N551</f>
        <v>149</v>
      </c>
      <c r="P551" t="s">
        <v>43</v>
      </c>
      <c r="Q551" t="b">
        <v>1</v>
      </c>
      <c r="R551" t="s">
        <v>55</v>
      </c>
      <c r="S551" t="s">
        <v>68</v>
      </c>
      <c r="T551" t="s">
        <v>69</v>
      </c>
      <c r="U551" t="s">
        <v>51</v>
      </c>
      <c r="V551" t="s">
        <v>63</v>
      </c>
      <c r="W551" t="s">
        <v>1164</v>
      </c>
      <c r="X551" t="s">
        <v>59</v>
      </c>
      <c r="Y551">
        <v>9007199254741538</v>
      </c>
      <c r="Z551">
        <v>0</v>
      </c>
      <c r="AA551" t="s">
        <v>63</v>
      </c>
      <c r="AB551" t="b">
        <v>1</v>
      </c>
      <c r="AD551" s="3">
        <v>0.125</v>
      </c>
      <c r="AE551" s="2">
        <v>45915.5</v>
      </c>
      <c r="AF551" t="s">
        <v>60</v>
      </c>
    </row>
    <row r="552">
      <c r="A552" t="s">
        <v>1165</v>
      </c>
      <c r="B552" s="2">
        <v>45914.5</v>
      </c>
      <c r="C552" t="s">
        <v>37</v>
      </c>
      <c r="D552" t="s">
        <f>'客户档案'!B3</f>
        <v>38</v>
      </c>
      <c r="E552" t="s">
        <v>64</v>
      </c>
      <c r="F552" t="s">
        <v>65</v>
      </c>
      <c r="G552" t="s">
        <f>'商品目录'!B5</f>
        <v>66</v>
      </c>
      <c r="H552" t="s">
        <v>67</v>
      </c>
      <c r="I552">
        <v>4</v>
      </c>
      <c r="J552" s="4">
        <v>45</v>
      </c>
      <c r="K552" s="4">
        <f>I552*J552</f>
        <v>180</v>
      </c>
      <c r="L552" s="3">
        <v>0</v>
      </c>
      <c r="M552" s="4">
        <f>K552*L552</f>
        <v>0</v>
      </c>
      <c r="N552" s="4">
        <v>0</v>
      </c>
      <c r="O552" s="4">
        <f>K552-M552+N552</f>
        <v>180</v>
      </c>
      <c r="P552" t="s">
        <v>43</v>
      </c>
      <c r="Q552" t="b">
        <v>1</v>
      </c>
      <c r="R552" t="s">
        <v>55</v>
      </c>
      <c r="S552" t="s">
        <v>45</v>
      </c>
      <c r="T552" t="s">
        <v>46</v>
      </c>
      <c r="U552" t="s">
        <v>70</v>
      </c>
      <c r="V552" t="s">
        <v>38</v>
      </c>
      <c r="W552" t="s">
        <v>1166</v>
      </c>
      <c r="X552" t="s">
        <v>72</v>
      </c>
      <c r="Y552">
        <v>9007199254741539</v>
      </c>
      <c r="Z552">
        <v>0</v>
      </c>
      <c r="AA552" t="s">
        <v>38</v>
      </c>
      <c r="AB552" t="b">
        <v>0</v>
      </c>
      <c r="AD552" s="3">
        <v>0.125</v>
      </c>
      <c r="AE552" s="2">
        <v>45916.5</v>
      </c>
      <c r="AF552" t="s">
        <v>60</v>
      </c>
    </row>
    <row r="553">
      <c r="A553" t="s">
        <v>1167</v>
      </c>
      <c r="B553" s="2">
        <v>45915.5</v>
      </c>
      <c r="C553" t="s">
        <v>49</v>
      </c>
      <c r="D553" t="s">
        <f>'客户档案'!B4</f>
        <v>50</v>
      </c>
      <c r="E553" t="s">
        <v>74</v>
      </c>
      <c r="F553" t="s">
        <v>75</v>
      </c>
      <c r="G553" t="s">
        <f>'商品目录'!B6</f>
        <v>76</v>
      </c>
      <c r="H553" t="s">
        <v>77</v>
      </c>
      <c r="I553">
        <v>6</v>
      </c>
      <c r="J553" s="4">
        <v>8</v>
      </c>
      <c r="K553" s="4">
        <f>I553*J553</f>
        <v>48</v>
      </c>
      <c r="L553" s="3">
        <v>0.5</v>
      </c>
      <c r="M553" s="4">
        <f>K553*L553</f>
        <v>24</v>
      </c>
      <c r="N553" s="4">
        <v>10</v>
      </c>
      <c r="O553" s="4">
        <f>K553-M553+N553</f>
        <v>34</v>
      </c>
      <c r="P553" t="s">
        <v>43</v>
      </c>
      <c r="Q553" t="b">
        <v>1</v>
      </c>
      <c r="R553" t="s">
        <v>55</v>
      </c>
      <c r="S553" t="s">
        <v>56</v>
      </c>
      <c r="T553" t="s">
        <v>57</v>
      </c>
      <c r="U553" t="s">
        <v>78</v>
      </c>
      <c r="V553" t="s">
        <v>50</v>
      </c>
      <c r="W553" t="s">
        <v>1168</v>
      </c>
      <c r="X553" t="s">
        <v>80</v>
      </c>
      <c r="Y553">
        <v>9007199254741540</v>
      </c>
      <c r="Z553">
        <v>0</v>
      </c>
      <c r="AA553" t="s">
        <v>50</v>
      </c>
      <c r="AB553" t="b">
        <v>1</v>
      </c>
      <c r="AD553" s="3">
        <v>0.125</v>
      </c>
      <c r="AE553" s="2">
        <v>45917.5</v>
      </c>
      <c r="AF553" t="s">
        <v>60</v>
      </c>
    </row>
    <row r="554">
      <c r="A554" t="s">
        <v>1169</v>
      </c>
      <c r="B554" s="2">
        <v>45916.5</v>
      </c>
      <c r="C554" t="s">
        <v>62</v>
      </c>
      <c r="D554" t="s">
        <f>'客户档案'!B5</f>
        <v>63</v>
      </c>
      <c r="E554" t="s">
        <v>39</v>
      </c>
      <c r="F554" t="s">
        <v>40</v>
      </c>
      <c r="G554" t="s">
        <f>'商品目录'!B3</f>
        <v>41</v>
      </c>
      <c r="H554" t="s">
        <v>42</v>
      </c>
      <c r="I554">
        <v>8</v>
      </c>
      <c r="J554" s="4">
        <v>99</v>
      </c>
      <c r="K554" s="4">
        <f>I554*J554</f>
        <v>792</v>
      </c>
      <c r="L554" s="3">
        <v>0</v>
      </c>
      <c r="M554" s="4">
        <f>K554*L554</f>
        <v>0</v>
      </c>
      <c r="N554" s="4">
        <v>20</v>
      </c>
      <c r="O554" s="4">
        <f>K554-M554+N554</f>
        <v>812</v>
      </c>
      <c r="P554" t="s">
        <v>43</v>
      </c>
      <c r="Q554" t="b">
        <v>0</v>
      </c>
      <c r="R554" t="s">
        <v>44</v>
      </c>
      <c r="S554" t="s">
        <v>68</v>
      </c>
      <c r="T554" t="s">
        <v>69</v>
      </c>
      <c r="U554" t="s">
        <v>39</v>
      </c>
      <c r="V554" t="s">
        <v>63</v>
      </c>
      <c r="W554" t="s">
        <v>1170</v>
      </c>
      <c r="X554" t="s">
        <v>0</v>
      </c>
      <c r="Y554">
        <v>9007199254741541</v>
      </c>
      <c r="Z554">
        <v>0</v>
      </c>
      <c r="AA554" t="s">
        <v>63</v>
      </c>
      <c r="AB554" t="b">
        <v>0</v>
      </c>
      <c r="AD554" s="3">
        <v>0.125</v>
      </c>
      <c r="AE554" s="2">
        <v>45918.5</v>
      </c>
      <c r="AF554" t="s">
        <v>60</v>
      </c>
    </row>
    <row r="555">
      <c r="A555" t="s">
        <v>1171</v>
      </c>
      <c r="B555" s="2">
        <v>45917.5</v>
      </c>
      <c r="C555" t="s">
        <v>37</v>
      </c>
      <c r="D555" t="s">
        <f>'客户档案'!B3</f>
        <v>38</v>
      </c>
      <c r="E555" t="s">
        <v>51</v>
      </c>
      <c r="F555" t="s">
        <v>52</v>
      </c>
      <c r="G555" t="s">
        <f>'商品目录'!B4</f>
        <v>53</v>
      </c>
      <c r="H555" t="s">
        <v>54</v>
      </c>
      <c r="I555">
        <v>10</v>
      </c>
      <c r="J555" s="4">
        <v>129</v>
      </c>
      <c r="K555" s="4">
        <f>I555*J555</f>
        <v>1290</v>
      </c>
      <c r="L555" s="3">
        <v>0.5</v>
      </c>
      <c r="M555" s="4">
        <f>K555*L555</f>
        <v>645</v>
      </c>
      <c r="N555" s="4">
        <v>0</v>
      </c>
      <c r="O555" s="4">
        <f>K555-M555+N555</f>
        <v>645</v>
      </c>
      <c r="P555" t="s">
        <v>43</v>
      </c>
      <c r="Q555" t="b">
        <v>1</v>
      </c>
      <c r="R555" t="s">
        <v>55</v>
      </c>
      <c r="S555" t="s">
        <v>45</v>
      </c>
      <c r="T555" t="s">
        <v>46</v>
      </c>
      <c r="U555" t="s">
        <v>51</v>
      </c>
      <c r="V555" t="s">
        <v>38</v>
      </c>
      <c r="W555" t="s">
        <v>1172</v>
      </c>
      <c r="X555" t="s">
        <v>59</v>
      </c>
      <c r="Y555">
        <v>9007199254741542</v>
      </c>
      <c r="Z555">
        <v>0</v>
      </c>
      <c r="AA555" t="s">
        <v>38</v>
      </c>
      <c r="AB555" t="b">
        <v>1</v>
      </c>
      <c r="AD555" s="3">
        <v>0.125</v>
      </c>
      <c r="AE555" s="2">
        <v>45919.5</v>
      </c>
      <c r="AF555" t="s">
        <v>60</v>
      </c>
    </row>
    <row r="556">
      <c r="A556" t="s">
        <v>1173</v>
      </c>
      <c r="B556" s="2">
        <v>45918.5</v>
      </c>
      <c r="C556" t="s">
        <v>49</v>
      </c>
      <c r="D556" t="s">
        <f>'客户档案'!B4</f>
        <v>50</v>
      </c>
      <c r="E556" t="s">
        <v>64</v>
      </c>
      <c r="F556" t="s">
        <v>65</v>
      </c>
      <c r="G556" t="s">
        <f>'商品目录'!B5</f>
        <v>66</v>
      </c>
      <c r="H556" t="s">
        <v>67</v>
      </c>
      <c r="I556">
        <v>2</v>
      </c>
      <c r="J556" s="4">
        <v>45</v>
      </c>
      <c r="K556" s="4">
        <f>I556*J556</f>
        <v>90</v>
      </c>
      <c r="L556" s="3">
        <v>0</v>
      </c>
      <c r="M556" s="4">
        <f>K556*L556</f>
        <v>0</v>
      </c>
      <c r="N556" s="4">
        <v>10</v>
      </c>
      <c r="O556" s="4">
        <f>K556-M556+N556</f>
        <v>100</v>
      </c>
      <c r="P556" t="s">
        <v>43</v>
      </c>
      <c r="Q556" t="b">
        <v>1</v>
      </c>
      <c r="R556" t="s">
        <v>55</v>
      </c>
      <c r="S556" t="s">
        <v>56</v>
      </c>
      <c r="T556" t="s">
        <v>57</v>
      </c>
      <c r="U556" t="s">
        <v>70</v>
      </c>
      <c r="V556" t="s">
        <v>50</v>
      </c>
      <c r="W556" t="s">
        <v>1174</v>
      </c>
      <c r="X556" t="s">
        <v>72</v>
      </c>
      <c r="Y556">
        <v>9007199254741543</v>
      </c>
      <c r="Z556">
        <v>0</v>
      </c>
      <c r="AA556" t="s">
        <v>50</v>
      </c>
      <c r="AB556" t="b">
        <v>0</v>
      </c>
      <c r="AD556" s="3">
        <v>0.125</v>
      </c>
      <c r="AE556" s="2">
        <v>45920.5</v>
      </c>
      <c r="AF556" t="s">
        <v>60</v>
      </c>
    </row>
    <row r="557">
      <c r="A557" t="s">
        <v>1175</v>
      </c>
      <c r="B557" s="2">
        <v>45919.5</v>
      </c>
      <c r="C557" t="s">
        <v>62</v>
      </c>
      <c r="D557" t="s">
        <f>'客户档案'!B5</f>
        <v>63</v>
      </c>
      <c r="E557" t="s">
        <v>74</v>
      </c>
      <c r="F557" t="s">
        <v>75</v>
      </c>
      <c r="G557" t="s">
        <f>'商品目录'!B6</f>
        <v>76</v>
      </c>
      <c r="H557" t="s">
        <v>77</v>
      </c>
      <c r="I557">
        <v>4</v>
      </c>
      <c r="J557" s="4">
        <v>8</v>
      </c>
      <c r="K557" s="4">
        <f>I557*J557</f>
        <v>32</v>
      </c>
      <c r="L557" s="3">
        <v>0.5</v>
      </c>
      <c r="M557" s="4">
        <f>K557*L557</f>
        <v>16</v>
      </c>
      <c r="N557" s="4">
        <v>20</v>
      </c>
      <c r="O557" s="4">
        <f>K557-M557+N557</f>
        <v>36</v>
      </c>
      <c r="P557" t="s">
        <v>43</v>
      </c>
      <c r="Q557" t="b">
        <v>1</v>
      </c>
      <c r="R557" t="s">
        <v>55</v>
      </c>
      <c r="S557" t="s">
        <v>68</v>
      </c>
      <c r="T557" t="s">
        <v>69</v>
      </c>
      <c r="U557" t="s">
        <v>78</v>
      </c>
      <c r="V557" t="s">
        <v>63</v>
      </c>
      <c r="W557" t="s">
        <v>1176</v>
      </c>
      <c r="X557" t="s">
        <v>80</v>
      </c>
      <c r="Y557">
        <v>9007199254741544</v>
      </c>
      <c r="Z557">
        <v>0</v>
      </c>
      <c r="AA557" t="s">
        <v>63</v>
      </c>
      <c r="AB557" t="b">
        <v>1</v>
      </c>
      <c r="AD557" s="3">
        <v>0.125</v>
      </c>
      <c r="AE557" s="2">
        <v>45921.5</v>
      </c>
      <c r="AF557" t="s">
        <v>60</v>
      </c>
    </row>
    <row r="558">
      <c r="A558" t="s">
        <v>1177</v>
      </c>
      <c r="B558" s="2">
        <v>45920.5</v>
      </c>
      <c r="C558" t="s">
        <v>37</v>
      </c>
      <c r="D558" t="s">
        <f>'客户档案'!B3</f>
        <v>38</v>
      </c>
      <c r="E558" t="s">
        <v>39</v>
      </c>
      <c r="F558" t="s">
        <v>40</v>
      </c>
      <c r="G558" t="s">
        <f>'商品目录'!B3</f>
        <v>41</v>
      </c>
      <c r="H558" t="s">
        <v>42</v>
      </c>
      <c r="I558">
        <v>6</v>
      </c>
      <c r="J558" s="4">
        <v>99</v>
      </c>
      <c r="K558" s="4">
        <f>I558*J558</f>
        <v>594</v>
      </c>
      <c r="L558" s="3">
        <v>0</v>
      </c>
      <c r="M558" s="4">
        <f>K558*L558</f>
        <v>0</v>
      </c>
      <c r="N558" s="4">
        <v>0</v>
      </c>
      <c r="O558" s="4">
        <f>K558-M558+N558</f>
        <v>594</v>
      </c>
      <c r="P558" t="s">
        <v>43</v>
      </c>
      <c r="Q558" t="b">
        <v>0</v>
      </c>
      <c r="R558" t="s">
        <v>44</v>
      </c>
      <c r="S558" t="s">
        <v>45</v>
      </c>
      <c r="T558" t="s">
        <v>46</v>
      </c>
      <c r="U558" t="s">
        <v>39</v>
      </c>
      <c r="V558" t="s">
        <v>38</v>
      </c>
      <c r="W558" t="s">
        <v>1178</v>
      </c>
      <c r="X558" t="s">
        <v>0</v>
      </c>
      <c r="Y558">
        <v>9007199254741545</v>
      </c>
      <c r="Z558">
        <v>0</v>
      </c>
      <c r="AA558" t="s">
        <v>38</v>
      </c>
      <c r="AB558" t="b">
        <v>0</v>
      </c>
      <c r="AD558" s="3">
        <v>0.125</v>
      </c>
      <c r="AE558" s="2">
        <v>45922.5</v>
      </c>
      <c r="AF558" t="s">
        <v>60</v>
      </c>
    </row>
    <row r="559">
      <c r="A559" t="s">
        <v>1179</v>
      </c>
      <c r="B559" s="2">
        <v>45921.5</v>
      </c>
      <c r="C559" t="s">
        <v>49</v>
      </c>
      <c r="D559" t="s">
        <f>'客户档案'!B4</f>
        <v>50</v>
      </c>
      <c r="E559" t="s">
        <v>51</v>
      </c>
      <c r="F559" t="s">
        <v>52</v>
      </c>
      <c r="G559" t="s">
        <f>'商品目录'!B4</f>
        <v>53</v>
      </c>
      <c r="H559" t="s">
        <v>54</v>
      </c>
      <c r="I559">
        <v>8</v>
      </c>
      <c r="J559" s="4">
        <v>129</v>
      </c>
      <c r="K559" s="4">
        <f>I559*J559</f>
        <v>1032</v>
      </c>
      <c r="L559" s="3">
        <v>0.5</v>
      </c>
      <c r="M559" s="4">
        <f>K559*L559</f>
        <v>516</v>
      </c>
      <c r="N559" s="4">
        <v>10</v>
      </c>
      <c r="O559" s="4">
        <f>K559-M559+N559</f>
        <v>526</v>
      </c>
      <c r="P559" t="s">
        <v>43</v>
      </c>
      <c r="Q559" t="b">
        <v>1</v>
      </c>
      <c r="R559" t="s">
        <v>55</v>
      </c>
      <c r="S559" t="s">
        <v>56</v>
      </c>
      <c r="T559" t="s">
        <v>57</v>
      </c>
      <c r="U559" t="s">
        <v>51</v>
      </c>
      <c r="V559" t="s">
        <v>50</v>
      </c>
      <c r="W559" t="s">
        <v>1180</v>
      </c>
      <c r="X559" t="s">
        <v>59</v>
      </c>
      <c r="Y559">
        <v>9007199254741546</v>
      </c>
      <c r="Z559">
        <v>0</v>
      </c>
      <c r="AA559" t="s">
        <v>50</v>
      </c>
      <c r="AB559" t="b">
        <v>1</v>
      </c>
      <c r="AD559" s="3">
        <v>0.125</v>
      </c>
      <c r="AE559" s="2">
        <v>45923.5</v>
      </c>
      <c r="AF559" t="s">
        <v>60</v>
      </c>
    </row>
    <row r="560">
      <c r="A560" t="s">
        <v>1181</v>
      </c>
      <c r="B560" s="2">
        <v>45922.5</v>
      </c>
      <c r="C560" t="s">
        <v>62</v>
      </c>
      <c r="D560" t="s">
        <f>'客户档案'!B5</f>
        <v>63</v>
      </c>
      <c r="E560" t="s">
        <v>64</v>
      </c>
      <c r="F560" t="s">
        <v>65</v>
      </c>
      <c r="G560" t="s">
        <f>'商品目录'!B5</f>
        <v>66</v>
      </c>
      <c r="H560" t="s">
        <v>67</v>
      </c>
      <c r="I560">
        <v>10</v>
      </c>
      <c r="J560" s="4">
        <v>45</v>
      </c>
      <c r="K560" s="4">
        <f>I560*J560</f>
        <v>450</v>
      </c>
      <c r="L560" s="3">
        <v>0</v>
      </c>
      <c r="M560" s="4">
        <f>K560*L560</f>
        <v>0</v>
      </c>
      <c r="N560" s="4">
        <v>20</v>
      </c>
      <c r="O560" s="4">
        <f>K560-M560+N560</f>
        <v>470</v>
      </c>
      <c r="P560" t="s">
        <v>43</v>
      </c>
      <c r="Q560" t="b">
        <v>1</v>
      </c>
      <c r="R560" t="s">
        <v>55</v>
      </c>
      <c r="S560" t="s">
        <v>68</v>
      </c>
      <c r="T560" t="s">
        <v>69</v>
      </c>
      <c r="U560" t="s">
        <v>70</v>
      </c>
      <c r="V560" t="s">
        <v>63</v>
      </c>
      <c r="W560" t="s">
        <v>1182</v>
      </c>
      <c r="X560" t="s">
        <v>72</v>
      </c>
      <c r="Y560">
        <v>9007199254741547</v>
      </c>
      <c r="Z560">
        <v>0</v>
      </c>
      <c r="AA560" t="s">
        <v>63</v>
      </c>
      <c r="AB560" t="b">
        <v>0</v>
      </c>
      <c r="AD560" s="3">
        <v>0.125</v>
      </c>
      <c r="AE560" s="2">
        <v>45924.5</v>
      </c>
      <c r="AF560" t="s">
        <v>60</v>
      </c>
    </row>
    <row r="561">
      <c r="A561" t="s">
        <v>1183</v>
      </c>
      <c r="B561" s="2">
        <v>45923.5</v>
      </c>
      <c r="C561" t="s">
        <v>37</v>
      </c>
      <c r="D561" t="s">
        <f>'客户档案'!B3</f>
        <v>38</v>
      </c>
      <c r="E561" t="s">
        <v>74</v>
      </c>
      <c r="F561" t="s">
        <v>75</v>
      </c>
      <c r="G561" t="s">
        <f>'商品目录'!B6</f>
        <v>76</v>
      </c>
      <c r="H561" t="s">
        <v>77</v>
      </c>
      <c r="I561">
        <v>2</v>
      </c>
      <c r="J561" s="4">
        <v>8</v>
      </c>
      <c r="K561" s="4">
        <f>I561*J561</f>
        <v>16</v>
      </c>
      <c r="L561" s="3">
        <v>0.5</v>
      </c>
      <c r="M561" s="4">
        <f>K561*L561</f>
        <v>8</v>
      </c>
      <c r="N561" s="4">
        <v>0</v>
      </c>
      <c r="O561" s="4">
        <f>K561-M561+N561</f>
        <v>8</v>
      </c>
      <c r="P561" t="s">
        <v>43</v>
      </c>
      <c r="Q561" t="b">
        <v>1</v>
      </c>
      <c r="R561" t="s">
        <v>55</v>
      </c>
      <c r="S561" t="s">
        <v>45</v>
      </c>
      <c r="T561" t="s">
        <v>46</v>
      </c>
      <c r="U561" t="s">
        <v>78</v>
      </c>
      <c r="V561" t="s">
        <v>38</v>
      </c>
      <c r="W561" t="s">
        <v>1184</v>
      </c>
      <c r="X561" t="s">
        <v>80</v>
      </c>
      <c r="Y561">
        <v>9007199254741548</v>
      </c>
      <c r="Z561">
        <v>0</v>
      </c>
      <c r="AA561" t="s">
        <v>38</v>
      </c>
      <c r="AB561" t="b">
        <v>1</v>
      </c>
      <c r="AD561" s="3">
        <v>0.125</v>
      </c>
      <c r="AE561" s="2">
        <v>45925.5</v>
      </c>
      <c r="AF561" t="s">
        <v>60</v>
      </c>
    </row>
    <row r="562">
      <c r="A562" t="s">
        <v>1185</v>
      </c>
      <c r="B562" s="2">
        <v>45924.5</v>
      </c>
      <c r="C562" t="s">
        <v>49</v>
      </c>
      <c r="D562" t="s">
        <f>'客户档案'!B4</f>
        <v>50</v>
      </c>
      <c r="E562" t="s">
        <v>39</v>
      </c>
      <c r="F562" t="s">
        <v>40</v>
      </c>
      <c r="G562" t="s">
        <f>'商品目录'!B3</f>
        <v>41</v>
      </c>
      <c r="H562" t="s">
        <v>42</v>
      </c>
      <c r="I562">
        <v>4</v>
      </c>
      <c r="J562" s="4">
        <v>99</v>
      </c>
      <c r="K562" s="4">
        <f>I562*J562</f>
        <v>396</v>
      </c>
      <c r="L562" s="3">
        <v>0</v>
      </c>
      <c r="M562" s="4">
        <f>K562*L562</f>
        <v>0</v>
      </c>
      <c r="N562" s="4">
        <v>10</v>
      </c>
      <c r="O562" s="4">
        <f>K562-M562+N562</f>
        <v>406</v>
      </c>
      <c r="P562" t="s">
        <v>43</v>
      </c>
      <c r="Q562" t="b">
        <v>0</v>
      </c>
      <c r="R562" t="s">
        <v>44</v>
      </c>
      <c r="S562" t="s">
        <v>56</v>
      </c>
      <c r="T562" t="s">
        <v>57</v>
      </c>
      <c r="U562" t="s">
        <v>39</v>
      </c>
      <c r="V562" t="s">
        <v>50</v>
      </c>
      <c r="W562" t="s">
        <v>1186</v>
      </c>
      <c r="X562" t="s">
        <v>0</v>
      </c>
      <c r="Y562">
        <v>9007199254741549</v>
      </c>
      <c r="Z562">
        <v>0</v>
      </c>
      <c r="AA562" t="s">
        <v>50</v>
      </c>
      <c r="AB562" t="b">
        <v>0</v>
      </c>
      <c r="AD562" s="3">
        <v>0.125</v>
      </c>
      <c r="AE562" s="2">
        <v>45926.5</v>
      </c>
      <c r="AF562" t="s">
        <v>60</v>
      </c>
    </row>
    <row r="563">
      <c r="A563" t="s">
        <v>1187</v>
      </c>
      <c r="B563" s="2">
        <v>45925.5</v>
      </c>
      <c r="C563" t="s">
        <v>62</v>
      </c>
      <c r="D563" t="s">
        <f>'客户档案'!B5</f>
        <v>63</v>
      </c>
      <c r="E563" t="s">
        <v>51</v>
      </c>
      <c r="F563" t="s">
        <v>52</v>
      </c>
      <c r="G563" t="s">
        <f>'商品目录'!B4</f>
        <v>53</v>
      </c>
      <c r="H563" t="s">
        <v>54</v>
      </c>
      <c r="I563">
        <v>6</v>
      </c>
      <c r="J563" s="4">
        <v>129</v>
      </c>
      <c r="K563" s="4">
        <f>I563*J563</f>
        <v>774</v>
      </c>
      <c r="L563" s="3">
        <v>0.5</v>
      </c>
      <c r="M563" s="4">
        <f>K563*L563</f>
        <v>387</v>
      </c>
      <c r="N563" s="4">
        <v>20</v>
      </c>
      <c r="O563" s="4">
        <f>K563-M563+N563</f>
        <v>407</v>
      </c>
      <c r="P563" t="s">
        <v>43</v>
      </c>
      <c r="Q563" t="b">
        <v>1</v>
      </c>
      <c r="R563" t="s">
        <v>55</v>
      </c>
      <c r="S563" t="s">
        <v>68</v>
      </c>
      <c r="T563" t="s">
        <v>69</v>
      </c>
      <c r="U563" t="s">
        <v>51</v>
      </c>
      <c r="V563" t="s">
        <v>63</v>
      </c>
      <c r="W563" t="s">
        <v>1188</v>
      </c>
      <c r="X563" t="s">
        <v>59</v>
      </c>
      <c r="Y563">
        <v>9007199254741550</v>
      </c>
      <c r="Z563">
        <v>0</v>
      </c>
      <c r="AA563" t="s">
        <v>63</v>
      </c>
      <c r="AB563" t="b">
        <v>1</v>
      </c>
      <c r="AD563" s="3">
        <v>0.125</v>
      </c>
      <c r="AE563" s="2">
        <v>45927.5</v>
      </c>
      <c r="AF563" t="s">
        <v>60</v>
      </c>
    </row>
    <row r="564">
      <c r="A564" t="s">
        <v>1189</v>
      </c>
      <c r="B564" s="2">
        <v>45926.5</v>
      </c>
      <c r="C564" t="s">
        <v>37</v>
      </c>
      <c r="D564" t="s">
        <f>'客户档案'!B3</f>
        <v>38</v>
      </c>
      <c r="E564" t="s">
        <v>64</v>
      </c>
      <c r="F564" t="s">
        <v>65</v>
      </c>
      <c r="G564" t="s">
        <f>'商品目录'!B5</f>
        <v>66</v>
      </c>
      <c r="H564" t="s">
        <v>67</v>
      </c>
      <c r="I564">
        <v>8</v>
      </c>
      <c r="J564" s="4">
        <v>45</v>
      </c>
      <c r="K564" s="4">
        <f>I564*J564</f>
        <v>360</v>
      </c>
      <c r="L564" s="3">
        <v>0</v>
      </c>
      <c r="M564" s="4">
        <f>K564*L564</f>
        <v>0</v>
      </c>
      <c r="N564" s="4">
        <v>0</v>
      </c>
      <c r="O564" s="4">
        <f>K564-M564+N564</f>
        <v>360</v>
      </c>
      <c r="P564" t="s">
        <v>43</v>
      </c>
      <c r="Q564" t="b">
        <v>1</v>
      </c>
      <c r="R564" t="s">
        <v>55</v>
      </c>
      <c r="S564" t="s">
        <v>45</v>
      </c>
      <c r="T564" t="s">
        <v>46</v>
      </c>
      <c r="U564" t="s">
        <v>70</v>
      </c>
      <c r="V564" t="s">
        <v>38</v>
      </c>
      <c r="W564" t="s">
        <v>1190</v>
      </c>
      <c r="X564" t="s">
        <v>72</v>
      </c>
      <c r="Y564">
        <v>9007199254741551</v>
      </c>
      <c r="Z564">
        <v>0</v>
      </c>
      <c r="AA564" t="s">
        <v>38</v>
      </c>
      <c r="AB564" t="b">
        <v>0</v>
      </c>
      <c r="AD564" s="3">
        <v>0.125</v>
      </c>
      <c r="AE564" s="2">
        <v>45928.5</v>
      </c>
      <c r="AF564" t="s">
        <v>60</v>
      </c>
    </row>
    <row r="565">
      <c r="A565" t="s">
        <v>1191</v>
      </c>
      <c r="B565" s="2">
        <v>45927.5</v>
      </c>
      <c r="C565" t="s">
        <v>49</v>
      </c>
      <c r="D565" t="s">
        <f>'客户档案'!B4</f>
        <v>50</v>
      </c>
      <c r="E565" t="s">
        <v>74</v>
      </c>
      <c r="F565" t="s">
        <v>75</v>
      </c>
      <c r="G565" t="s">
        <f>'商品目录'!B6</f>
        <v>76</v>
      </c>
      <c r="H565" t="s">
        <v>77</v>
      </c>
      <c r="I565">
        <v>10</v>
      </c>
      <c r="J565" s="4">
        <v>8</v>
      </c>
      <c r="K565" s="4">
        <f>I565*J565</f>
        <v>80</v>
      </c>
      <c r="L565" s="3">
        <v>0.5</v>
      </c>
      <c r="M565" s="4">
        <f>K565*L565</f>
        <v>40</v>
      </c>
      <c r="N565" s="4">
        <v>10</v>
      </c>
      <c r="O565" s="4">
        <f>K565-M565+N565</f>
        <v>50</v>
      </c>
      <c r="P565" t="s">
        <v>43</v>
      </c>
      <c r="Q565" t="b">
        <v>1</v>
      </c>
      <c r="R565" t="s">
        <v>55</v>
      </c>
      <c r="S565" t="s">
        <v>56</v>
      </c>
      <c r="T565" t="s">
        <v>57</v>
      </c>
      <c r="U565" t="s">
        <v>78</v>
      </c>
      <c r="V565" t="s">
        <v>50</v>
      </c>
      <c r="W565" t="s">
        <v>1192</v>
      </c>
      <c r="X565" t="s">
        <v>80</v>
      </c>
      <c r="Y565">
        <v>9007199254741552</v>
      </c>
      <c r="Z565">
        <v>0</v>
      </c>
      <c r="AA565" t="s">
        <v>50</v>
      </c>
      <c r="AB565" t="b">
        <v>1</v>
      </c>
      <c r="AD565" s="3">
        <v>0.125</v>
      </c>
      <c r="AE565" s="2">
        <v>45929.5</v>
      </c>
      <c r="AF565" t="s">
        <v>60</v>
      </c>
    </row>
    <row r="566">
      <c r="A566" t="s">
        <v>1193</v>
      </c>
      <c r="B566" s="2">
        <v>45900.5</v>
      </c>
      <c r="C566" t="s">
        <v>62</v>
      </c>
      <c r="D566" t="s">
        <f>'客户档案'!B5</f>
        <v>63</v>
      </c>
      <c r="E566" t="s">
        <v>39</v>
      </c>
      <c r="F566" t="s">
        <v>40</v>
      </c>
      <c r="G566" t="s">
        <f>'商品目录'!B3</f>
        <v>41</v>
      </c>
      <c r="H566" t="s">
        <v>42</v>
      </c>
      <c r="I566">
        <v>2</v>
      </c>
      <c r="J566" s="4">
        <v>99</v>
      </c>
      <c r="K566" s="4">
        <f>I566*J566</f>
        <v>198</v>
      </c>
      <c r="L566" s="3">
        <v>0</v>
      </c>
      <c r="M566" s="4">
        <f>K566*L566</f>
        <v>0</v>
      </c>
      <c r="N566" s="4">
        <v>20</v>
      </c>
      <c r="O566" s="4">
        <f>K566-M566+N566</f>
        <v>218</v>
      </c>
      <c r="P566" t="s">
        <v>43</v>
      </c>
      <c r="Q566" t="b">
        <v>0</v>
      </c>
      <c r="R566" t="s">
        <v>44</v>
      </c>
      <c r="S566" t="s">
        <v>68</v>
      </c>
      <c r="T566" t="s">
        <v>69</v>
      </c>
      <c r="U566" t="s">
        <v>39</v>
      </c>
      <c r="V566" t="s">
        <v>63</v>
      </c>
      <c r="W566" t="s">
        <v>1194</v>
      </c>
      <c r="X566" t="s">
        <v>0</v>
      </c>
      <c r="Y566">
        <v>9007199254741553</v>
      </c>
      <c r="Z566">
        <v>0</v>
      </c>
      <c r="AA566" t="s">
        <v>63</v>
      </c>
      <c r="AB566" t="b">
        <v>0</v>
      </c>
      <c r="AD566" s="3">
        <v>0.125</v>
      </c>
      <c r="AE566" s="2">
        <v>45902.5</v>
      </c>
      <c r="AF566" t="s">
        <v>60</v>
      </c>
    </row>
    <row r="567">
      <c r="A567" t="s">
        <v>1195</v>
      </c>
      <c r="B567" s="2">
        <v>45901.5</v>
      </c>
      <c r="C567" t="s">
        <v>37</v>
      </c>
      <c r="D567" t="s">
        <f>'客户档案'!B3</f>
        <v>38</v>
      </c>
      <c r="E567" t="s">
        <v>51</v>
      </c>
      <c r="F567" t="s">
        <v>52</v>
      </c>
      <c r="G567" t="s">
        <f>'商品目录'!B4</f>
        <v>53</v>
      </c>
      <c r="H567" t="s">
        <v>54</v>
      </c>
      <c r="I567">
        <v>4</v>
      </c>
      <c r="J567" s="4">
        <v>129</v>
      </c>
      <c r="K567" s="4">
        <f>I567*J567</f>
        <v>516</v>
      </c>
      <c r="L567" s="3">
        <v>0.5</v>
      </c>
      <c r="M567" s="4">
        <f>K567*L567</f>
        <v>258</v>
      </c>
      <c r="N567" s="4">
        <v>0</v>
      </c>
      <c r="O567" s="4">
        <f>K567-M567+N567</f>
        <v>258</v>
      </c>
      <c r="P567" t="s">
        <v>43</v>
      </c>
      <c r="Q567" t="b">
        <v>1</v>
      </c>
      <c r="R567" t="s">
        <v>55</v>
      </c>
      <c r="S567" t="s">
        <v>45</v>
      </c>
      <c r="T567" t="s">
        <v>46</v>
      </c>
      <c r="U567" t="s">
        <v>51</v>
      </c>
      <c r="V567" t="s">
        <v>38</v>
      </c>
      <c r="W567" t="s">
        <v>1196</v>
      </c>
      <c r="X567" t="s">
        <v>59</v>
      </c>
      <c r="Y567">
        <v>9007199254741554</v>
      </c>
      <c r="Z567">
        <v>2</v>
      </c>
      <c r="AA567" t="s">
        <v>38</v>
      </c>
      <c r="AB567" t="b">
        <v>1</v>
      </c>
      <c r="AD567" s="3">
        <v>0.125</v>
      </c>
      <c r="AE567" s="2">
        <v>45903.5</v>
      </c>
      <c r="AF567" t="s">
        <v>60</v>
      </c>
    </row>
    <row r="568">
      <c r="A568" t="s">
        <v>1197</v>
      </c>
      <c r="B568" s="2">
        <v>45902.5</v>
      </c>
      <c r="C568" t="s">
        <v>49</v>
      </c>
      <c r="D568" t="s">
        <f>'客户档案'!B4</f>
        <v>50</v>
      </c>
      <c r="E568" t="s">
        <v>64</v>
      </c>
      <c r="F568" t="s">
        <v>65</v>
      </c>
      <c r="G568" t="s">
        <f>'商品目录'!B5</f>
        <v>66</v>
      </c>
      <c r="H568" t="s">
        <v>67</v>
      </c>
      <c r="I568">
        <v>6</v>
      </c>
      <c r="J568" s="4">
        <v>45</v>
      </c>
      <c r="K568" s="4">
        <f>I568*J568</f>
        <v>270</v>
      </c>
      <c r="L568" s="3">
        <v>0</v>
      </c>
      <c r="M568" s="4">
        <f>K568*L568</f>
        <v>0</v>
      </c>
      <c r="N568" s="4">
        <v>10</v>
      </c>
      <c r="O568" s="4">
        <f>K568-M568+N568</f>
        <v>280</v>
      </c>
      <c r="P568" t="s">
        <v>43</v>
      </c>
      <c r="Q568" t="b">
        <v>1</v>
      </c>
      <c r="R568" t="s">
        <v>55</v>
      </c>
      <c r="S568" t="s">
        <v>56</v>
      </c>
      <c r="T568" t="s">
        <v>57</v>
      </c>
      <c r="U568" t="s">
        <v>70</v>
      </c>
      <c r="V568" t="s">
        <v>50</v>
      </c>
      <c r="W568" t="s">
        <v>1198</v>
      </c>
      <c r="X568" t="s">
        <v>72</v>
      </c>
      <c r="Y568">
        <v>9007199254741555</v>
      </c>
      <c r="Z568">
        <v>0</v>
      </c>
      <c r="AA568" t="s">
        <v>50</v>
      </c>
      <c r="AB568" t="b">
        <v>0</v>
      </c>
      <c r="AD568" s="3">
        <v>0.125</v>
      </c>
      <c r="AE568" s="2">
        <v>45904.5</v>
      </c>
      <c r="AF568" t="s">
        <v>60</v>
      </c>
    </row>
    <row r="569">
      <c r="A569" t="s">
        <v>1199</v>
      </c>
      <c r="B569" s="2">
        <v>45903.5</v>
      </c>
      <c r="C569" t="s">
        <v>62</v>
      </c>
      <c r="D569" t="s">
        <f>'客户档案'!B5</f>
        <v>63</v>
      </c>
      <c r="E569" t="s">
        <v>74</v>
      </c>
      <c r="F569" t="s">
        <v>75</v>
      </c>
      <c r="G569" t="s">
        <f>'商品目录'!B6</f>
        <v>76</v>
      </c>
      <c r="H569" t="s">
        <v>77</v>
      </c>
      <c r="I569">
        <v>8</v>
      </c>
      <c r="J569" s="4">
        <v>8</v>
      </c>
      <c r="K569" s="4">
        <f>I569*J569</f>
        <v>64</v>
      </c>
      <c r="L569" s="3">
        <v>0.5</v>
      </c>
      <c r="M569" s="4">
        <f>K569*L569</f>
        <v>32</v>
      </c>
      <c r="N569" s="4">
        <v>20</v>
      </c>
      <c r="O569" s="4">
        <f>K569-M569+N569</f>
        <v>52</v>
      </c>
      <c r="P569" t="s">
        <v>43</v>
      </c>
      <c r="Q569" t="b">
        <v>1</v>
      </c>
      <c r="R569" t="s">
        <v>55</v>
      </c>
      <c r="S569" t="s">
        <v>68</v>
      </c>
      <c r="T569" t="s">
        <v>69</v>
      </c>
      <c r="U569" t="s">
        <v>78</v>
      </c>
      <c r="V569" t="s">
        <v>63</v>
      </c>
      <c r="W569" t="s">
        <v>1200</v>
      </c>
      <c r="X569" t="s">
        <v>80</v>
      </c>
      <c r="Y569">
        <v>9007199254741556</v>
      </c>
      <c r="Z569">
        <v>0</v>
      </c>
      <c r="AA569" t="s">
        <v>63</v>
      </c>
      <c r="AB569" t="b">
        <v>1</v>
      </c>
      <c r="AD569" s="3">
        <v>0.125</v>
      </c>
      <c r="AE569" s="2">
        <v>45905.5</v>
      </c>
      <c r="AF569" t="s">
        <v>60</v>
      </c>
    </row>
    <row r="570">
      <c r="A570" t="s">
        <v>1201</v>
      </c>
      <c r="B570" s="2">
        <v>45904.5</v>
      </c>
      <c r="C570" t="s">
        <v>37</v>
      </c>
      <c r="D570" t="s">
        <f>'客户档案'!B3</f>
        <v>38</v>
      </c>
      <c r="E570" t="s">
        <v>39</v>
      </c>
      <c r="F570" t="s">
        <v>40</v>
      </c>
      <c r="G570" t="s">
        <f>'商品目录'!B3</f>
        <v>41</v>
      </c>
      <c r="H570" t="s">
        <v>42</v>
      </c>
      <c r="I570">
        <v>10</v>
      </c>
      <c r="J570" s="4">
        <v>99</v>
      </c>
      <c r="K570" s="4">
        <f>I570*J570</f>
        <v>990</v>
      </c>
      <c r="L570" s="3">
        <v>0</v>
      </c>
      <c r="M570" s="4">
        <f>K570*L570</f>
        <v>0</v>
      </c>
      <c r="N570" s="4">
        <v>0</v>
      </c>
      <c r="O570" s="4">
        <f>K570-M570+N570</f>
        <v>990</v>
      </c>
      <c r="P570" t="s">
        <v>43</v>
      </c>
      <c r="Q570" t="b">
        <v>0</v>
      </c>
      <c r="R570" t="s">
        <v>44</v>
      </c>
      <c r="S570" t="s">
        <v>45</v>
      </c>
      <c r="T570" t="s">
        <v>46</v>
      </c>
      <c r="U570" t="s">
        <v>39</v>
      </c>
      <c r="V570" t="s">
        <v>38</v>
      </c>
      <c r="W570" t="s">
        <v>1202</v>
      </c>
      <c r="X570" t="s">
        <v>0</v>
      </c>
      <c r="Y570">
        <v>9007199254741557</v>
      </c>
      <c r="Z570">
        <v>0</v>
      </c>
      <c r="AA570" t="s">
        <v>38</v>
      </c>
      <c r="AB570" t="b">
        <v>0</v>
      </c>
      <c r="AD570" s="3">
        <v>0.125</v>
      </c>
      <c r="AE570" s="2">
        <v>45906.5</v>
      </c>
      <c r="AF570" t="s">
        <v>60</v>
      </c>
    </row>
    <row r="571">
      <c r="A571" t="s">
        <v>1203</v>
      </c>
      <c r="B571" s="2">
        <v>45905.5</v>
      </c>
      <c r="C571" t="s">
        <v>49</v>
      </c>
      <c r="D571" t="s">
        <f>'客户档案'!B4</f>
        <v>50</v>
      </c>
      <c r="E571" t="s">
        <v>51</v>
      </c>
      <c r="F571" t="s">
        <v>52</v>
      </c>
      <c r="G571" t="s">
        <f>'商品目录'!B4</f>
        <v>53</v>
      </c>
      <c r="H571" t="s">
        <v>54</v>
      </c>
      <c r="I571">
        <v>2</v>
      </c>
      <c r="J571" s="4">
        <v>129</v>
      </c>
      <c r="K571" s="4">
        <f>I571*J571</f>
        <v>258</v>
      </c>
      <c r="L571" s="3">
        <v>0.5</v>
      </c>
      <c r="M571" s="4">
        <f>K571*L571</f>
        <v>129</v>
      </c>
      <c r="N571" s="4">
        <v>10</v>
      </c>
      <c r="O571" s="4">
        <f>K571-M571+N571</f>
        <v>139</v>
      </c>
      <c r="P571" t="s">
        <v>43</v>
      </c>
      <c r="Q571" t="b">
        <v>1</v>
      </c>
      <c r="R571" t="s">
        <v>55</v>
      </c>
      <c r="S571" t="s">
        <v>56</v>
      </c>
      <c r="T571" t="s">
        <v>57</v>
      </c>
      <c r="U571" t="s">
        <v>51</v>
      </c>
      <c r="V571" t="s">
        <v>50</v>
      </c>
      <c r="W571" t="s">
        <v>1204</v>
      </c>
      <c r="X571" t="s">
        <v>59</v>
      </c>
      <c r="Y571">
        <v>9007199254741558</v>
      </c>
      <c r="Z571">
        <v>0</v>
      </c>
      <c r="AA571" t="s">
        <v>50</v>
      </c>
      <c r="AB571" t="b">
        <v>1</v>
      </c>
      <c r="AD571" s="3">
        <v>0.125</v>
      </c>
      <c r="AE571" s="2">
        <v>45907.5</v>
      </c>
      <c r="AF571" t="s">
        <v>60</v>
      </c>
    </row>
    <row r="572">
      <c r="A572" t="s">
        <v>1205</v>
      </c>
      <c r="B572" s="2">
        <v>45906.5</v>
      </c>
      <c r="C572" t="s">
        <v>62</v>
      </c>
      <c r="D572" t="s">
        <f>'客户档案'!B5</f>
        <v>63</v>
      </c>
      <c r="E572" t="s">
        <v>64</v>
      </c>
      <c r="F572" t="s">
        <v>65</v>
      </c>
      <c r="G572" t="s">
        <f>'商品目录'!B5</f>
        <v>66</v>
      </c>
      <c r="H572" t="s">
        <v>67</v>
      </c>
      <c r="I572">
        <v>4</v>
      </c>
      <c r="J572" s="4">
        <v>45</v>
      </c>
      <c r="K572" s="4">
        <f>I572*J572</f>
        <v>180</v>
      </c>
      <c r="L572" s="3">
        <v>0</v>
      </c>
      <c r="M572" s="4">
        <f>K572*L572</f>
        <v>0</v>
      </c>
      <c r="N572" s="4">
        <v>20</v>
      </c>
      <c r="O572" s="4">
        <f>K572-M572+N572</f>
        <v>200</v>
      </c>
      <c r="P572" t="s">
        <v>43</v>
      </c>
      <c r="Q572" t="b">
        <v>1</v>
      </c>
      <c r="R572" t="s">
        <v>55</v>
      </c>
      <c r="S572" t="s">
        <v>68</v>
      </c>
      <c r="T572" t="s">
        <v>69</v>
      </c>
      <c r="U572" t="s">
        <v>70</v>
      </c>
      <c r="V572" t="s">
        <v>63</v>
      </c>
      <c r="W572" t="s">
        <v>1206</v>
      </c>
      <c r="X572" t="s">
        <v>72</v>
      </c>
      <c r="Y572">
        <v>9007199254741559</v>
      </c>
      <c r="Z572">
        <v>0</v>
      </c>
      <c r="AA572" t="s">
        <v>63</v>
      </c>
      <c r="AB572" t="b">
        <v>0</v>
      </c>
      <c r="AD572" s="3">
        <v>0.125</v>
      </c>
      <c r="AE572" s="2">
        <v>45908.5</v>
      </c>
      <c r="AF572" t="s">
        <v>60</v>
      </c>
    </row>
    <row r="573">
      <c r="A573" t="s">
        <v>1207</v>
      </c>
      <c r="B573" s="2">
        <v>45907.5</v>
      </c>
      <c r="C573" t="s">
        <v>37</v>
      </c>
      <c r="D573" t="s">
        <f>'客户档案'!B3</f>
        <v>38</v>
      </c>
      <c r="E573" t="s">
        <v>74</v>
      </c>
      <c r="F573" t="s">
        <v>75</v>
      </c>
      <c r="G573" t="s">
        <f>'商品目录'!B6</f>
        <v>76</v>
      </c>
      <c r="H573" t="s">
        <v>77</v>
      </c>
      <c r="I573">
        <v>6</v>
      </c>
      <c r="J573" s="4">
        <v>8</v>
      </c>
      <c r="K573" s="4">
        <f>I573*J573</f>
        <v>48</v>
      </c>
      <c r="L573" s="3">
        <v>0.5</v>
      </c>
      <c r="M573" s="4">
        <f>K573*L573</f>
        <v>24</v>
      </c>
      <c r="N573" s="4">
        <v>0</v>
      </c>
      <c r="O573" s="4">
        <f>K573-M573+N573</f>
        <v>24</v>
      </c>
      <c r="P573" t="s">
        <v>43</v>
      </c>
      <c r="Q573" t="b">
        <v>1</v>
      </c>
      <c r="R573" t="s">
        <v>55</v>
      </c>
      <c r="S573" t="s">
        <v>45</v>
      </c>
      <c r="T573" t="s">
        <v>46</v>
      </c>
      <c r="U573" t="s">
        <v>78</v>
      </c>
      <c r="V573" t="s">
        <v>38</v>
      </c>
      <c r="W573" t="s">
        <v>1208</v>
      </c>
      <c r="X573" t="s">
        <v>80</v>
      </c>
      <c r="Y573">
        <v>9007199254741560</v>
      </c>
      <c r="Z573">
        <v>0</v>
      </c>
      <c r="AA573" t="s">
        <v>38</v>
      </c>
      <c r="AB573" t="b">
        <v>1</v>
      </c>
      <c r="AD573" s="3">
        <v>0.125</v>
      </c>
      <c r="AE573" s="2">
        <v>45909.5</v>
      </c>
      <c r="AF573" t="s">
        <v>60</v>
      </c>
    </row>
    <row r="574">
      <c r="A574" t="s">
        <v>1209</v>
      </c>
      <c r="B574" s="2">
        <v>45908.5</v>
      </c>
      <c r="C574" t="s">
        <v>49</v>
      </c>
      <c r="D574" t="s">
        <f>'客户档案'!B4</f>
        <v>50</v>
      </c>
      <c r="E574" t="s">
        <v>39</v>
      </c>
      <c r="F574" t="s">
        <v>40</v>
      </c>
      <c r="G574" t="s">
        <f>'商品目录'!B3</f>
        <v>41</v>
      </c>
      <c r="H574" t="s">
        <v>42</v>
      </c>
      <c r="I574">
        <v>8</v>
      </c>
      <c r="J574" s="4">
        <v>99</v>
      </c>
      <c r="K574" s="4">
        <f>I574*J574</f>
        <v>792</v>
      </c>
      <c r="L574" s="3">
        <v>0</v>
      </c>
      <c r="M574" s="4">
        <f>K574*L574</f>
        <v>0</v>
      </c>
      <c r="N574" s="4">
        <v>10</v>
      </c>
      <c r="O574" s="4">
        <f>K574-M574+N574</f>
        <v>802</v>
      </c>
      <c r="P574" t="s">
        <v>43</v>
      </c>
      <c r="Q574" t="b">
        <v>0</v>
      </c>
      <c r="R574" t="s">
        <v>44</v>
      </c>
      <c r="S574" t="s">
        <v>56</v>
      </c>
      <c r="T574" t="s">
        <v>57</v>
      </c>
      <c r="U574" t="s">
        <v>39</v>
      </c>
      <c r="V574" t="s">
        <v>50</v>
      </c>
      <c r="W574" t="s">
        <v>1210</v>
      </c>
      <c r="X574" t="s">
        <v>0</v>
      </c>
      <c r="Y574">
        <v>9007199254741561</v>
      </c>
      <c r="Z574">
        <v>0</v>
      </c>
      <c r="AA574" t="s">
        <v>50</v>
      </c>
      <c r="AB574" t="b">
        <v>0</v>
      </c>
      <c r="AD574" s="3">
        <v>0.125</v>
      </c>
      <c r="AE574" s="2">
        <v>45910.5</v>
      </c>
      <c r="AF574" t="s">
        <v>60</v>
      </c>
    </row>
    <row r="575">
      <c r="A575" t="s">
        <v>1211</v>
      </c>
      <c r="B575" s="2">
        <v>45909.5</v>
      </c>
      <c r="C575" t="s">
        <v>62</v>
      </c>
      <c r="D575" t="s">
        <f>'客户档案'!B5</f>
        <v>63</v>
      </c>
      <c r="E575" t="s">
        <v>51</v>
      </c>
      <c r="F575" t="s">
        <v>52</v>
      </c>
      <c r="G575" t="s">
        <f>'商品目录'!B4</f>
        <v>53</v>
      </c>
      <c r="H575" t="s">
        <v>54</v>
      </c>
      <c r="I575">
        <v>10</v>
      </c>
      <c r="J575" s="4">
        <v>129</v>
      </c>
      <c r="K575" s="4">
        <f>I575*J575</f>
        <v>1290</v>
      </c>
      <c r="L575" s="3">
        <v>0.5</v>
      </c>
      <c r="M575" s="4">
        <f>K575*L575</f>
        <v>645</v>
      </c>
      <c r="N575" s="4">
        <v>20</v>
      </c>
      <c r="O575" s="4">
        <f>K575-M575+N575</f>
        <v>665</v>
      </c>
      <c r="P575" t="s">
        <v>43</v>
      </c>
      <c r="Q575" t="b">
        <v>1</v>
      </c>
      <c r="R575" t="s">
        <v>55</v>
      </c>
      <c r="S575" t="s">
        <v>68</v>
      </c>
      <c r="T575" t="s">
        <v>69</v>
      </c>
      <c r="U575" t="s">
        <v>51</v>
      </c>
      <c r="V575" t="s">
        <v>63</v>
      </c>
      <c r="W575" t="s">
        <v>1212</v>
      </c>
      <c r="X575" t="s">
        <v>59</v>
      </c>
      <c r="Y575">
        <v>9007199254741562</v>
      </c>
      <c r="Z575">
        <v>0</v>
      </c>
      <c r="AA575" t="s">
        <v>63</v>
      </c>
      <c r="AB575" t="b">
        <v>1</v>
      </c>
      <c r="AD575" s="3">
        <v>0.125</v>
      </c>
      <c r="AE575" s="2">
        <v>45911.5</v>
      </c>
      <c r="AF575" t="s">
        <v>60</v>
      </c>
    </row>
    <row r="576">
      <c r="A576" t="s">
        <v>1213</v>
      </c>
      <c r="B576" s="2">
        <v>45910.5</v>
      </c>
      <c r="C576" t="s">
        <v>37</v>
      </c>
      <c r="D576" t="s">
        <f>'客户档案'!B3</f>
        <v>38</v>
      </c>
      <c r="E576" t="s">
        <v>64</v>
      </c>
      <c r="F576" t="s">
        <v>65</v>
      </c>
      <c r="G576" t="s">
        <f>'商品目录'!B5</f>
        <v>66</v>
      </c>
      <c r="H576" t="s">
        <v>67</v>
      </c>
      <c r="I576">
        <v>2</v>
      </c>
      <c r="J576" s="4">
        <v>45</v>
      </c>
      <c r="K576" s="4">
        <f>I576*J576</f>
        <v>90</v>
      </c>
      <c r="L576" s="3">
        <v>0</v>
      </c>
      <c r="M576" s="4">
        <f>K576*L576</f>
        <v>0</v>
      </c>
      <c r="N576" s="4">
        <v>0</v>
      </c>
      <c r="O576" s="4">
        <f>K576-M576+N576</f>
        <v>90</v>
      </c>
      <c r="P576" t="s">
        <v>43</v>
      </c>
      <c r="Q576" t="b">
        <v>1</v>
      </c>
      <c r="R576" t="s">
        <v>55</v>
      </c>
      <c r="S576" t="s">
        <v>45</v>
      </c>
      <c r="T576" t="s">
        <v>46</v>
      </c>
      <c r="U576" t="s">
        <v>70</v>
      </c>
      <c r="V576" t="s">
        <v>38</v>
      </c>
      <c r="W576" t="s">
        <v>1214</v>
      </c>
      <c r="X576" t="s">
        <v>72</v>
      </c>
      <c r="Y576">
        <v>9007199254741563</v>
      </c>
      <c r="Z576">
        <v>0</v>
      </c>
      <c r="AA576" t="s">
        <v>38</v>
      </c>
      <c r="AB576" t="b">
        <v>0</v>
      </c>
      <c r="AD576" s="3">
        <v>0.125</v>
      </c>
      <c r="AE576" s="2">
        <v>45912.5</v>
      </c>
      <c r="AF576" t="s">
        <v>60</v>
      </c>
    </row>
    <row r="577">
      <c r="A577" t="s">
        <v>1215</v>
      </c>
      <c r="B577" s="2">
        <v>45911.5</v>
      </c>
      <c r="C577" t="s">
        <v>49</v>
      </c>
      <c r="D577" t="s">
        <f>'客户档案'!B4</f>
        <v>50</v>
      </c>
      <c r="E577" t="s">
        <v>74</v>
      </c>
      <c r="F577" t="s">
        <v>75</v>
      </c>
      <c r="G577" t="s">
        <f>'商品目录'!B6</f>
        <v>76</v>
      </c>
      <c r="H577" t="s">
        <v>77</v>
      </c>
      <c r="I577">
        <v>4</v>
      </c>
      <c r="J577" s="4">
        <v>8</v>
      </c>
      <c r="K577" s="4">
        <f>I577*J577</f>
        <v>32</v>
      </c>
      <c r="L577" s="3">
        <v>0.5</v>
      </c>
      <c r="M577" s="4">
        <f>K577*L577</f>
        <v>16</v>
      </c>
      <c r="N577" s="4">
        <v>10</v>
      </c>
      <c r="O577" s="4">
        <f>K577-M577+N577</f>
        <v>26</v>
      </c>
      <c r="P577" t="s">
        <v>43</v>
      </c>
      <c r="Q577" t="b">
        <v>1</v>
      </c>
      <c r="R577" t="s">
        <v>55</v>
      </c>
      <c r="S577" t="s">
        <v>56</v>
      </c>
      <c r="T577" t="s">
        <v>57</v>
      </c>
      <c r="U577" t="s">
        <v>78</v>
      </c>
      <c r="V577" t="s">
        <v>50</v>
      </c>
      <c r="W577" t="s">
        <v>1216</v>
      </c>
      <c r="X577" t="s">
        <v>80</v>
      </c>
      <c r="Y577">
        <v>9007199254741564</v>
      </c>
      <c r="Z577">
        <v>0</v>
      </c>
      <c r="AA577" t="s">
        <v>50</v>
      </c>
      <c r="AB577" t="b">
        <v>1</v>
      </c>
      <c r="AD577" s="3">
        <v>0.125</v>
      </c>
      <c r="AE577" s="2">
        <v>45913.5</v>
      </c>
      <c r="AF577" t="s">
        <v>60</v>
      </c>
    </row>
    <row r="578">
      <c r="A578" t="s">
        <v>1217</v>
      </c>
      <c r="B578" s="2">
        <v>45912.5</v>
      </c>
      <c r="C578" t="s">
        <v>62</v>
      </c>
      <c r="D578" t="s">
        <f>'客户档案'!B5</f>
        <v>63</v>
      </c>
      <c r="E578" t="s">
        <v>39</v>
      </c>
      <c r="F578" t="s">
        <v>40</v>
      </c>
      <c r="G578" t="s">
        <f>'商品目录'!B3</f>
        <v>41</v>
      </c>
      <c r="H578" t="s">
        <v>42</v>
      </c>
      <c r="I578">
        <v>6</v>
      </c>
      <c r="J578" s="4">
        <v>99</v>
      </c>
      <c r="K578" s="4">
        <f>I578*J578</f>
        <v>594</v>
      </c>
      <c r="L578" s="3">
        <v>0</v>
      </c>
      <c r="M578" s="4">
        <f>K578*L578</f>
        <v>0</v>
      </c>
      <c r="N578" s="4">
        <v>20</v>
      </c>
      <c r="O578" s="4">
        <f>K578-M578+N578</f>
        <v>614</v>
      </c>
      <c r="P578" t="s">
        <v>43</v>
      </c>
      <c r="Q578" t="b">
        <v>0</v>
      </c>
      <c r="R578" t="s">
        <v>44</v>
      </c>
      <c r="S578" t="s">
        <v>68</v>
      </c>
      <c r="T578" t="s">
        <v>69</v>
      </c>
      <c r="U578" t="s">
        <v>39</v>
      </c>
      <c r="V578" t="s">
        <v>63</v>
      </c>
      <c r="W578" t="s">
        <v>1218</v>
      </c>
      <c r="X578" t="s">
        <v>0</v>
      </c>
      <c r="Y578">
        <v>9007199254741565</v>
      </c>
      <c r="Z578">
        <v>0</v>
      </c>
      <c r="AA578" t="s">
        <v>63</v>
      </c>
      <c r="AB578" t="b">
        <v>0</v>
      </c>
      <c r="AD578" s="3">
        <v>0.125</v>
      </c>
      <c r="AE578" s="2">
        <v>45914.5</v>
      </c>
      <c r="AF578" t="s">
        <v>60</v>
      </c>
    </row>
    <row r="579">
      <c r="A579" t="s">
        <v>1219</v>
      </c>
      <c r="B579" s="2">
        <v>45913.5</v>
      </c>
      <c r="C579" t="s">
        <v>37</v>
      </c>
      <c r="D579" t="s">
        <f>'客户档案'!B3</f>
        <v>38</v>
      </c>
      <c r="E579" t="s">
        <v>51</v>
      </c>
      <c r="F579" t="s">
        <v>52</v>
      </c>
      <c r="G579" t="s">
        <f>'商品目录'!B4</f>
        <v>53</v>
      </c>
      <c r="H579" t="s">
        <v>54</v>
      </c>
      <c r="I579">
        <v>8</v>
      </c>
      <c r="J579" s="4">
        <v>129</v>
      </c>
      <c r="K579" s="4">
        <f>I579*J579</f>
        <v>1032</v>
      </c>
      <c r="L579" s="3">
        <v>0.5</v>
      </c>
      <c r="M579" s="4">
        <f>K579*L579</f>
        <v>516</v>
      </c>
      <c r="N579" s="4">
        <v>0</v>
      </c>
      <c r="O579" s="4">
        <f>K579-M579+N579</f>
        <v>516</v>
      </c>
      <c r="P579" t="s">
        <v>43</v>
      </c>
      <c r="Q579" t="b">
        <v>1</v>
      </c>
      <c r="R579" t="s">
        <v>55</v>
      </c>
      <c r="S579" t="s">
        <v>45</v>
      </c>
      <c r="T579" t="s">
        <v>46</v>
      </c>
      <c r="U579" t="s">
        <v>51</v>
      </c>
      <c r="V579" t="s">
        <v>38</v>
      </c>
      <c r="W579" t="s">
        <v>1220</v>
      </c>
      <c r="X579" t="s">
        <v>59</v>
      </c>
      <c r="Y579">
        <v>9007199254741566</v>
      </c>
      <c r="Z579">
        <v>0</v>
      </c>
      <c r="AA579" t="s">
        <v>38</v>
      </c>
      <c r="AB579" t="b">
        <v>1</v>
      </c>
      <c r="AD579" s="3">
        <v>0.125</v>
      </c>
      <c r="AE579" s="2">
        <v>45915.5</v>
      </c>
      <c r="AF579" t="s">
        <v>60</v>
      </c>
    </row>
    <row r="580">
      <c r="A580" t="s">
        <v>1221</v>
      </c>
      <c r="B580" s="2">
        <v>45914.5</v>
      </c>
      <c r="C580" t="s">
        <v>49</v>
      </c>
      <c r="D580" t="s">
        <f>'客户档案'!B4</f>
        <v>50</v>
      </c>
      <c r="E580" t="s">
        <v>64</v>
      </c>
      <c r="F580" t="s">
        <v>65</v>
      </c>
      <c r="G580" t="s">
        <f>'商品目录'!B5</f>
        <v>66</v>
      </c>
      <c r="H580" t="s">
        <v>67</v>
      </c>
      <c r="I580">
        <v>10</v>
      </c>
      <c r="J580" s="4">
        <v>45</v>
      </c>
      <c r="K580" s="4">
        <f>I580*J580</f>
        <v>450</v>
      </c>
      <c r="L580" s="3">
        <v>0</v>
      </c>
      <c r="M580" s="4">
        <f>K580*L580</f>
        <v>0</v>
      </c>
      <c r="N580" s="4">
        <v>10</v>
      </c>
      <c r="O580" s="4">
        <f>K580-M580+N580</f>
        <v>460</v>
      </c>
      <c r="P580" t="s">
        <v>43</v>
      </c>
      <c r="Q580" t="b">
        <v>1</v>
      </c>
      <c r="R580" t="s">
        <v>55</v>
      </c>
      <c r="S580" t="s">
        <v>56</v>
      </c>
      <c r="T580" t="s">
        <v>57</v>
      </c>
      <c r="U580" t="s">
        <v>70</v>
      </c>
      <c r="V580" t="s">
        <v>50</v>
      </c>
      <c r="W580" t="s">
        <v>1222</v>
      </c>
      <c r="X580" t="s">
        <v>72</v>
      </c>
      <c r="Y580">
        <v>9007199254741567</v>
      </c>
      <c r="Z580">
        <v>0</v>
      </c>
      <c r="AA580" t="s">
        <v>50</v>
      </c>
      <c r="AB580" t="b">
        <v>0</v>
      </c>
      <c r="AD580" s="3">
        <v>0.125</v>
      </c>
      <c r="AE580" s="2">
        <v>45916.5</v>
      </c>
      <c r="AF580" t="s">
        <v>60</v>
      </c>
    </row>
    <row r="581">
      <c r="A581" t="s">
        <v>1223</v>
      </c>
      <c r="B581" s="2">
        <v>45915.5</v>
      </c>
      <c r="C581" t="s">
        <v>62</v>
      </c>
      <c r="D581" t="s">
        <f>'客户档案'!B5</f>
        <v>63</v>
      </c>
      <c r="E581" t="s">
        <v>74</v>
      </c>
      <c r="F581" t="s">
        <v>75</v>
      </c>
      <c r="G581" t="s">
        <f>'商品目录'!B6</f>
        <v>76</v>
      </c>
      <c r="H581" t="s">
        <v>77</v>
      </c>
      <c r="I581">
        <v>2</v>
      </c>
      <c r="J581" s="4">
        <v>8</v>
      </c>
      <c r="K581" s="4">
        <f>I581*J581</f>
        <v>16</v>
      </c>
      <c r="L581" s="3">
        <v>0.5</v>
      </c>
      <c r="M581" s="4">
        <f>K581*L581</f>
        <v>8</v>
      </c>
      <c r="N581" s="4">
        <v>20</v>
      </c>
      <c r="O581" s="4">
        <f>K581-M581+N581</f>
        <v>28</v>
      </c>
      <c r="P581" t="s">
        <v>43</v>
      </c>
      <c r="Q581" t="b">
        <v>1</v>
      </c>
      <c r="R581" t="s">
        <v>55</v>
      </c>
      <c r="S581" t="s">
        <v>68</v>
      </c>
      <c r="T581" t="s">
        <v>69</v>
      </c>
      <c r="U581" t="s">
        <v>78</v>
      </c>
      <c r="V581" t="s">
        <v>63</v>
      </c>
      <c r="W581" t="s">
        <v>1224</v>
      </c>
      <c r="X581" t="s">
        <v>80</v>
      </c>
      <c r="Y581">
        <v>9007199254741568</v>
      </c>
      <c r="Z581">
        <v>0</v>
      </c>
      <c r="AA581" t="s">
        <v>63</v>
      </c>
      <c r="AB581" t="b">
        <v>1</v>
      </c>
      <c r="AD581" s="3">
        <v>0.125</v>
      </c>
      <c r="AE581" s="2">
        <v>45917.5</v>
      </c>
      <c r="AF581" t="s">
        <v>60</v>
      </c>
    </row>
    <row r="582">
      <c r="A582" t="s">
        <v>1225</v>
      </c>
      <c r="B582" s="2">
        <v>45916.5</v>
      </c>
      <c r="C582" t="s">
        <v>37</v>
      </c>
      <c r="D582" t="s">
        <f>'客户档案'!B3</f>
        <v>38</v>
      </c>
      <c r="E582" t="s">
        <v>39</v>
      </c>
      <c r="F582" t="s">
        <v>40</v>
      </c>
      <c r="G582" t="s">
        <f>'商品目录'!B3</f>
        <v>41</v>
      </c>
      <c r="H582" t="s">
        <v>42</v>
      </c>
      <c r="I582">
        <v>4</v>
      </c>
      <c r="J582" s="4">
        <v>99</v>
      </c>
      <c r="K582" s="4">
        <f>I582*J582</f>
        <v>396</v>
      </c>
      <c r="L582" s="3">
        <v>0</v>
      </c>
      <c r="M582" s="4">
        <f>K582*L582</f>
        <v>0</v>
      </c>
      <c r="N582" s="4">
        <v>0</v>
      </c>
      <c r="O582" s="4">
        <f>K582-M582+N582</f>
        <v>396</v>
      </c>
      <c r="P582" t="s">
        <v>43</v>
      </c>
      <c r="Q582" t="b">
        <v>0</v>
      </c>
      <c r="R582" t="s">
        <v>44</v>
      </c>
      <c r="S582" t="s">
        <v>45</v>
      </c>
      <c r="T582" t="s">
        <v>46</v>
      </c>
      <c r="U582" t="s">
        <v>39</v>
      </c>
      <c r="V582" t="s">
        <v>38</v>
      </c>
      <c r="W582" t="s">
        <v>1226</v>
      </c>
      <c r="X582" t="s">
        <v>0</v>
      </c>
      <c r="Y582">
        <v>9007199254741569</v>
      </c>
      <c r="Z582">
        <v>0</v>
      </c>
      <c r="AA582" t="s">
        <v>38</v>
      </c>
      <c r="AB582" t="b">
        <v>0</v>
      </c>
      <c r="AD582" s="3">
        <v>0.125</v>
      </c>
      <c r="AE582" s="2">
        <v>45918.5</v>
      </c>
      <c r="AF582" t="s">
        <v>60</v>
      </c>
    </row>
    <row r="583">
      <c r="A583" t="s">
        <v>1227</v>
      </c>
      <c r="B583" s="2">
        <v>45917.5</v>
      </c>
      <c r="C583" t="s">
        <v>49</v>
      </c>
      <c r="D583" t="s">
        <f>'客户档案'!B4</f>
        <v>50</v>
      </c>
      <c r="E583" t="s">
        <v>51</v>
      </c>
      <c r="F583" t="s">
        <v>52</v>
      </c>
      <c r="G583" t="s">
        <f>'商品目录'!B4</f>
        <v>53</v>
      </c>
      <c r="H583" t="s">
        <v>54</v>
      </c>
      <c r="I583">
        <v>6</v>
      </c>
      <c r="J583" s="4">
        <v>129</v>
      </c>
      <c r="K583" s="4">
        <f>I583*J583</f>
        <v>774</v>
      </c>
      <c r="L583" s="3">
        <v>0.5</v>
      </c>
      <c r="M583" s="4">
        <f>K583*L583</f>
        <v>387</v>
      </c>
      <c r="N583" s="4">
        <v>10</v>
      </c>
      <c r="O583" s="4">
        <f>K583-M583+N583</f>
        <v>397</v>
      </c>
      <c r="P583" t="s">
        <v>43</v>
      </c>
      <c r="Q583" t="b">
        <v>1</v>
      </c>
      <c r="R583" t="s">
        <v>55</v>
      </c>
      <c r="S583" t="s">
        <v>56</v>
      </c>
      <c r="T583" t="s">
        <v>57</v>
      </c>
      <c r="U583" t="s">
        <v>51</v>
      </c>
      <c r="V583" t="s">
        <v>50</v>
      </c>
      <c r="W583" t="s">
        <v>1228</v>
      </c>
      <c r="X583" t="s">
        <v>59</v>
      </c>
      <c r="Y583">
        <v>9007199254741570</v>
      </c>
      <c r="Z583">
        <v>0</v>
      </c>
      <c r="AA583" t="s">
        <v>50</v>
      </c>
      <c r="AB583" t="b">
        <v>1</v>
      </c>
      <c r="AD583" s="3">
        <v>0.125</v>
      </c>
      <c r="AE583" s="2">
        <v>45919.5</v>
      </c>
      <c r="AF583" t="s">
        <v>60</v>
      </c>
    </row>
    <row r="584">
      <c r="A584" t="s">
        <v>1229</v>
      </c>
      <c r="B584" s="2">
        <v>45918.5</v>
      </c>
      <c r="C584" t="s">
        <v>62</v>
      </c>
      <c r="D584" t="s">
        <f>'客户档案'!B5</f>
        <v>63</v>
      </c>
      <c r="E584" t="s">
        <v>64</v>
      </c>
      <c r="F584" t="s">
        <v>65</v>
      </c>
      <c r="G584" t="s">
        <f>'商品目录'!B5</f>
        <v>66</v>
      </c>
      <c r="H584" t="s">
        <v>67</v>
      </c>
      <c r="I584">
        <v>8</v>
      </c>
      <c r="J584" s="4">
        <v>45</v>
      </c>
      <c r="K584" s="4">
        <f>I584*J584</f>
        <v>360</v>
      </c>
      <c r="L584" s="3">
        <v>0</v>
      </c>
      <c r="M584" s="4">
        <f>K584*L584</f>
        <v>0</v>
      </c>
      <c r="N584" s="4">
        <v>20</v>
      </c>
      <c r="O584" s="4">
        <f>K584-M584+N584</f>
        <v>380</v>
      </c>
      <c r="P584" t="s">
        <v>43</v>
      </c>
      <c r="Q584" t="b">
        <v>1</v>
      </c>
      <c r="R584" t="s">
        <v>55</v>
      </c>
      <c r="S584" t="s">
        <v>68</v>
      </c>
      <c r="T584" t="s">
        <v>69</v>
      </c>
      <c r="U584" t="s">
        <v>70</v>
      </c>
      <c r="V584" t="s">
        <v>63</v>
      </c>
      <c r="W584" t="s">
        <v>1230</v>
      </c>
      <c r="X584" t="s">
        <v>72</v>
      </c>
      <c r="Y584">
        <v>9007199254741571</v>
      </c>
      <c r="Z584">
        <v>2</v>
      </c>
      <c r="AA584" t="s">
        <v>63</v>
      </c>
      <c r="AB584" t="b">
        <v>0</v>
      </c>
      <c r="AD584" s="3">
        <v>0.125</v>
      </c>
      <c r="AE584" s="2">
        <v>45920.5</v>
      </c>
      <c r="AF584" t="s">
        <v>60</v>
      </c>
    </row>
    <row r="585">
      <c r="A585" t="s">
        <v>1231</v>
      </c>
      <c r="B585" s="2">
        <v>45919.5</v>
      </c>
      <c r="C585" t="s">
        <v>37</v>
      </c>
      <c r="D585" t="s">
        <f>'客户档案'!B3</f>
        <v>38</v>
      </c>
      <c r="E585" t="s">
        <v>74</v>
      </c>
      <c r="F585" t="s">
        <v>75</v>
      </c>
      <c r="G585" t="s">
        <f>'商品目录'!B6</f>
        <v>76</v>
      </c>
      <c r="H585" t="s">
        <v>77</v>
      </c>
      <c r="I585">
        <v>10</v>
      </c>
      <c r="J585" s="4">
        <v>8</v>
      </c>
      <c r="K585" s="4">
        <f>I585*J585</f>
        <v>80</v>
      </c>
      <c r="L585" s="3">
        <v>0.5</v>
      </c>
      <c r="M585" s="4">
        <f>K585*L585</f>
        <v>40</v>
      </c>
      <c r="N585" s="4">
        <v>0</v>
      </c>
      <c r="O585" s="4">
        <f>K585-M585+N585</f>
        <v>40</v>
      </c>
      <c r="P585" t="s">
        <v>43</v>
      </c>
      <c r="Q585" t="b">
        <v>1</v>
      </c>
      <c r="R585" t="s">
        <v>55</v>
      </c>
      <c r="S585" t="s">
        <v>45</v>
      </c>
      <c r="T585" t="s">
        <v>46</v>
      </c>
      <c r="U585" t="s">
        <v>78</v>
      </c>
      <c r="V585" t="s">
        <v>38</v>
      </c>
      <c r="W585" t="s">
        <v>1232</v>
      </c>
      <c r="X585" t="s">
        <v>80</v>
      </c>
      <c r="Y585">
        <v>9007199254741572</v>
      </c>
      <c r="Z585">
        <v>0</v>
      </c>
      <c r="AA585" t="s">
        <v>38</v>
      </c>
      <c r="AB585" t="b">
        <v>1</v>
      </c>
      <c r="AD585" s="3">
        <v>0.125</v>
      </c>
      <c r="AE585" s="2">
        <v>45921.5</v>
      </c>
      <c r="AF585" t="s">
        <v>60</v>
      </c>
    </row>
    <row r="586">
      <c r="A586" t="s">
        <v>1233</v>
      </c>
      <c r="B586" s="2">
        <v>45920.5</v>
      </c>
      <c r="C586" t="s">
        <v>49</v>
      </c>
      <c r="D586" t="s">
        <f>'客户档案'!B4</f>
        <v>50</v>
      </c>
      <c r="E586" t="s">
        <v>39</v>
      </c>
      <c r="F586" t="s">
        <v>40</v>
      </c>
      <c r="G586" t="s">
        <f>'商品目录'!B3</f>
        <v>41</v>
      </c>
      <c r="H586" t="s">
        <v>42</v>
      </c>
      <c r="I586">
        <v>2</v>
      </c>
      <c r="J586" s="4">
        <v>99</v>
      </c>
      <c r="K586" s="4">
        <f>I586*J586</f>
        <v>198</v>
      </c>
      <c r="L586" s="3">
        <v>0</v>
      </c>
      <c r="M586" s="4">
        <f>K586*L586</f>
        <v>0</v>
      </c>
      <c r="N586" s="4">
        <v>10</v>
      </c>
      <c r="O586" s="4">
        <f>K586-M586+N586</f>
        <v>208</v>
      </c>
      <c r="P586" t="s">
        <v>43</v>
      </c>
      <c r="Q586" t="b">
        <v>0</v>
      </c>
      <c r="R586" t="s">
        <v>44</v>
      </c>
      <c r="S586" t="s">
        <v>56</v>
      </c>
      <c r="T586" t="s">
        <v>57</v>
      </c>
      <c r="U586" t="s">
        <v>39</v>
      </c>
      <c r="V586" t="s">
        <v>50</v>
      </c>
      <c r="W586" t="s">
        <v>1234</v>
      </c>
      <c r="X586" t="s">
        <v>0</v>
      </c>
      <c r="Y586">
        <v>9007199254741573</v>
      </c>
      <c r="Z586">
        <v>0</v>
      </c>
      <c r="AA586" t="s">
        <v>50</v>
      </c>
      <c r="AB586" t="b">
        <v>0</v>
      </c>
      <c r="AD586" s="3">
        <v>0.125</v>
      </c>
      <c r="AE586" s="2">
        <v>45922.5</v>
      </c>
      <c r="AF586" t="s">
        <v>60</v>
      </c>
    </row>
    <row r="587">
      <c r="A587" t="s">
        <v>1235</v>
      </c>
      <c r="B587" s="2">
        <v>45921.5</v>
      </c>
      <c r="C587" t="s">
        <v>62</v>
      </c>
      <c r="D587" t="s">
        <f>'客户档案'!B5</f>
        <v>63</v>
      </c>
      <c r="E587" t="s">
        <v>51</v>
      </c>
      <c r="F587" t="s">
        <v>52</v>
      </c>
      <c r="G587" t="s">
        <f>'商品目录'!B4</f>
        <v>53</v>
      </c>
      <c r="H587" t="s">
        <v>54</v>
      </c>
      <c r="I587">
        <v>4</v>
      </c>
      <c r="J587" s="4">
        <v>129</v>
      </c>
      <c r="K587" s="4">
        <f>I587*J587</f>
        <v>516</v>
      </c>
      <c r="L587" s="3">
        <v>0.5</v>
      </c>
      <c r="M587" s="4">
        <f>K587*L587</f>
        <v>258</v>
      </c>
      <c r="N587" s="4">
        <v>20</v>
      </c>
      <c r="O587" s="4">
        <f>K587-M587+N587</f>
        <v>278</v>
      </c>
      <c r="P587" t="s">
        <v>43</v>
      </c>
      <c r="Q587" t="b">
        <v>1</v>
      </c>
      <c r="R587" t="s">
        <v>55</v>
      </c>
      <c r="S587" t="s">
        <v>68</v>
      </c>
      <c r="T587" t="s">
        <v>69</v>
      </c>
      <c r="U587" t="s">
        <v>51</v>
      </c>
      <c r="V587" t="s">
        <v>63</v>
      </c>
      <c r="W587" t="s">
        <v>1236</v>
      </c>
      <c r="X587" t="s">
        <v>59</v>
      </c>
      <c r="Y587">
        <v>9007199254741574</v>
      </c>
      <c r="Z587">
        <v>0</v>
      </c>
      <c r="AA587" t="s">
        <v>63</v>
      </c>
      <c r="AB587" t="b">
        <v>1</v>
      </c>
      <c r="AD587" s="3">
        <v>0.125</v>
      </c>
      <c r="AE587" s="2">
        <v>45923.5</v>
      </c>
      <c r="AF587" t="s">
        <v>60</v>
      </c>
    </row>
    <row r="588">
      <c r="A588" t="s">
        <v>1237</v>
      </c>
      <c r="B588" s="2">
        <v>45922.5</v>
      </c>
      <c r="C588" t="s">
        <v>37</v>
      </c>
      <c r="D588" t="s">
        <f>'客户档案'!B3</f>
        <v>38</v>
      </c>
      <c r="E588" t="s">
        <v>64</v>
      </c>
      <c r="F588" t="s">
        <v>65</v>
      </c>
      <c r="G588" t="s">
        <f>'商品目录'!B5</f>
        <v>66</v>
      </c>
      <c r="H588" t="s">
        <v>67</v>
      </c>
      <c r="I588">
        <v>6</v>
      </c>
      <c r="J588" s="4">
        <v>45</v>
      </c>
      <c r="K588" s="4">
        <f>I588*J588</f>
        <v>270</v>
      </c>
      <c r="L588" s="3">
        <v>0</v>
      </c>
      <c r="M588" s="4">
        <f>K588*L588</f>
        <v>0</v>
      </c>
      <c r="N588" s="4">
        <v>0</v>
      </c>
      <c r="O588" s="4">
        <f>K588-M588+N588</f>
        <v>270</v>
      </c>
      <c r="P588" t="s">
        <v>43</v>
      </c>
      <c r="Q588" t="b">
        <v>1</v>
      </c>
      <c r="R588" t="s">
        <v>55</v>
      </c>
      <c r="S588" t="s">
        <v>45</v>
      </c>
      <c r="T588" t="s">
        <v>46</v>
      </c>
      <c r="U588" t="s">
        <v>70</v>
      </c>
      <c r="V588" t="s">
        <v>38</v>
      </c>
      <c r="W588" t="s">
        <v>1238</v>
      </c>
      <c r="X588" t="s">
        <v>72</v>
      </c>
      <c r="Y588">
        <v>9007199254741575</v>
      </c>
      <c r="Z588">
        <v>0</v>
      </c>
      <c r="AA588" t="s">
        <v>38</v>
      </c>
      <c r="AB588" t="b">
        <v>0</v>
      </c>
      <c r="AD588" s="3">
        <v>0.125</v>
      </c>
      <c r="AE588" s="2">
        <v>45924.5</v>
      </c>
      <c r="AF588" t="s">
        <v>60</v>
      </c>
    </row>
    <row r="589">
      <c r="A589" t="s">
        <v>1239</v>
      </c>
      <c r="B589" s="2">
        <v>45923.5</v>
      </c>
      <c r="C589" t="s">
        <v>49</v>
      </c>
      <c r="D589" t="s">
        <f>'客户档案'!B4</f>
        <v>50</v>
      </c>
      <c r="E589" t="s">
        <v>74</v>
      </c>
      <c r="F589" t="s">
        <v>75</v>
      </c>
      <c r="G589" t="s">
        <f>'商品目录'!B6</f>
        <v>76</v>
      </c>
      <c r="H589" t="s">
        <v>77</v>
      </c>
      <c r="I589">
        <v>8</v>
      </c>
      <c r="J589" s="4">
        <v>8</v>
      </c>
      <c r="K589" s="4">
        <f>I589*J589</f>
        <v>64</v>
      </c>
      <c r="L589" s="3">
        <v>0.5</v>
      </c>
      <c r="M589" s="4">
        <f>K589*L589</f>
        <v>32</v>
      </c>
      <c r="N589" s="4">
        <v>10</v>
      </c>
      <c r="O589" s="4">
        <f>K589-M589+N589</f>
        <v>42</v>
      </c>
      <c r="P589" t="s">
        <v>43</v>
      </c>
      <c r="Q589" t="b">
        <v>1</v>
      </c>
      <c r="R589" t="s">
        <v>55</v>
      </c>
      <c r="S589" t="s">
        <v>56</v>
      </c>
      <c r="T589" t="s">
        <v>57</v>
      </c>
      <c r="U589" t="s">
        <v>78</v>
      </c>
      <c r="V589" t="s">
        <v>50</v>
      </c>
      <c r="W589" t="s">
        <v>1240</v>
      </c>
      <c r="X589" t="s">
        <v>80</v>
      </c>
      <c r="Y589">
        <v>9007199254741576</v>
      </c>
      <c r="Z589">
        <v>0</v>
      </c>
      <c r="AA589" t="s">
        <v>50</v>
      </c>
      <c r="AB589" t="b">
        <v>1</v>
      </c>
      <c r="AD589" s="3">
        <v>0.125</v>
      </c>
      <c r="AE589" s="2">
        <v>45925.5</v>
      </c>
      <c r="AF589" t="s">
        <v>60</v>
      </c>
    </row>
    <row r="590">
      <c r="A590" t="s">
        <v>1241</v>
      </c>
      <c r="B590" s="2">
        <v>45924.5</v>
      </c>
      <c r="C590" t="s">
        <v>62</v>
      </c>
      <c r="D590" t="s">
        <f>'客户档案'!B5</f>
        <v>63</v>
      </c>
      <c r="E590" t="s">
        <v>39</v>
      </c>
      <c r="F590" t="s">
        <v>40</v>
      </c>
      <c r="G590" t="s">
        <f>'商品目录'!B3</f>
        <v>41</v>
      </c>
      <c r="H590" t="s">
        <v>42</v>
      </c>
      <c r="I590">
        <v>10</v>
      </c>
      <c r="J590" s="4">
        <v>99</v>
      </c>
      <c r="K590" s="4">
        <f>I590*J590</f>
        <v>990</v>
      </c>
      <c r="L590" s="3">
        <v>0</v>
      </c>
      <c r="M590" s="4">
        <f>K590*L590</f>
        <v>0</v>
      </c>
      <c r="N590" s="4">
        <v>20</v>
      </c>
      <c r="O590" s="4">
        <f>K590-M590+N590</f>
        <v>1010</v>
      </c>
      <c r="P590" t="s">
        <v>43</v>
      </c>
      <c r="Q590" t="b">
        <v>0</v>
      </c>
      <c r="R590" t="s">
        <v>44</v>
      </c>
      <c r="S590" t="s">
        <v>68</v>
      </c>
      <c r="T590" t="s">
        <v>69</v>
      </c>
      <c r="U590" t="s">
        <v>39</v>
      </c>
      <c r="V590" t="s">
        <v>63</v>
      </c>
      <c r="W590" t="s">
        <v>1242</v>
      </c>
      <c r="X590" t="s">
        <v>0</v>
      </c>
      <c r="Y590">
        <v>9007199254741577</v>
      </c>
      <c r="Z590">
        <v>0</v>
      </c>
      <c r="AA590" t="s">
        <v>63</v>
      </c>
      <c r="AB590" t="b">
        <v>0</v>
      </c>
      <c r="AD590" s="3">
        <v>0.125</v>
      </c>
      <c r="AE590" s="2">
        <v>45926.5</v>
      </c>
      <c r="AF590" t="s">
        <v>60</v>
      </c>
    </row>
    <row r="591">
      <c r="A591" t="s">
        <v>1243</v>
      </c>
      <c r="B591" s="2">
        <v>45925.5</v>
      </c>
      <c r="C591" t="s">
        <v>37</v>
      </c>
      <c r="D591" t="s">
        <f>'客户档案'!B3</f>
        <v>38</v>
      </c>
      <c r="E591" t="s">
        <v>51</v>
      </c>
      <c r="F591" t="s">
        <v>52</v>
      </c>
      <c r="G591" t="s">
        <f>'商品目录'!B4</f>
        <v>53</v>
      </c>
      <c r="H591" t="s">
        <v>54</v>
      </c>
      <c r="I591">
        <v>2</v>
      </c>
      <c r="J591" s="4">
        <v>129</v>
      </c>
      <c r="K591" s="4">
        <f>I591*J591</f>
        <v>258</v>
      </c>
      <c r="L591" s="3">
        <v>0.5</v>
      </c>
      <c r="M591" s="4">
        <f>K591*L591</f>
        <v>129</v>
      </c>
      <c r="N591" s="4">
        <v>0</v>
      </c>
      <c r="O591" s="4">
        <f>K591-M591+N591</f>
        <v>129</v>
      </c>
      <c r="P591" t="s">
        <v>43</v>
      </c>
      <c r="Q591" t="b">
        <v>1</v>
      </c>
      <c r="R591" t="s">
        <v>55</v>
      </c>
      <c r="S591" t="s">
        <v>45</v>
      </c>
      <c r="T591" t="s">
        <v>46</v>
      </c>
      <c r="U591" t="s">
        <v>51</v>
      </c>
      <c r="V591" t="s">
        <v>38</v>
      </c>
      <c r="W591" t="s">
        <v>1244</v>
      </c>
      <c r="X591" t="s">
        <v>59</v>
      </c>
      <c r="Y591">
        <v>9007199254741578</v>
      </c>
      <c r="Z591">
        <v>0</v>
      </c>
      <c r="AA591" t="s">
        <v>38</v>
      </c>
      <c r="AB591" t="b">
        <v>1</v>
      </c>
      <c r="AD591" s="3">
        <v>0.125</v>
      </c>
      <c r="AE591" s="2">
        <v>45927.5</v>
      </c>
      <c r="AF591" t="s">
        <v>60</v>
      </c>
    </row>
    <row r="592">
      <c r="A592" t="s">
        <v>1245</v>
      </c>
      <c r="B592" s="2">
        <v>45926.5</v>
      </c>
      <c r="C592" t="s">
        <v>49</v>
      </c>
      <c r="D592" t="s">
        <f>'客户档案'!B4</f>
        <v>50</v>
      </c>
      <c r="E592" t="s">
        <v>64</v>
      </c>
      <c r="F592" t="s">
        <v>65</v>
      </c>
      <c r="G592" t="s">
        <f>'商品目录'!B5</f>
        <v>66</v>
      </c>
      <c r="H592" t="s">
        <v>67</v>
      </c>
      <c r="I592">
        <v>4</v>
      </c>
      <c r="J592" s="4">
        <v>45</v>
      </c>
      <c r="K592" s="4">
        <f>I592*J592</f>
        <v>180</v>
      </c>
      <c r="L592" s="3">
        <v>0</v>
      </c>
      <c r="M592" s="4">
        <f>K592*L592</f>
        <v>0</v>
      </c>
      <c r="N592" s="4">
        <v>10</v>
      </c>
      <c r="O592" s="4">
        <f>K592-M592+N592</f>
        <v>190</v>
      </c>
      <c r="P592" t="s">
        <v>43</v>
      </c>
      <c r="Q592" t="b">
        <v>1</v>
      </c>
      <c r="R592" t="s">
        <v>55</v>
      </c>
      <c r="S592" t="s">
        <v>56</v>
      </c>
      <c r="T592" t="s">
        <v>57</v>
      </c>
      <c r="U592" t="s">
        <v>70</v>
      </c>
      <c r="V592" t="s">
        <v>50</v>
      </c>
      <c r="W592" t="s">
        <v>1246</v>
      </c>
      <c r="X592" t="s">
        <v>72</v>
      </c>
      <c r="Y592">
        <v>9007199254741579</v>
      </c>
      <c r="Z592">
        <v>0</v>
      </c>
      <c r="AA592" t="s">
        <v>50</v>
      </c>
      <c r="AB592" t="b">
        <v>0</v>
      </c>
      <c r="AD592" s="3">
        <v>0.125</v>
      </c>
      <c r="AE592" s="2">
        <v>45928.5</v>
      </c>
      <c r="AF592" t="s">
        <v>60</v>
      </c>
    </row>
    <row r="593">
      <c r="A593" t="s">
        <v>1247</v>
      </c>
      <c r="B593" s="2">
        <v>45927.5</v>
      </c>
      <c r="C593" t="s">
        <v>62</v>
      </c>
      <c r="D593" t="s">
        <f>'客户档案'!B5</f>
        <v>63</v>
      </c>
      <c r="E593" t="s">
        <v>74</v>
      </c>
      <c r="F593" t="s">
        <v>75</v>
      </c>
      <c r="G593" t="s">
        <f>'商品目录'!B6</f>
        <v>76</v>
      </c>
      <c r="H593" t="s">
        <v>77</v>
      </c>
      <c r="I593">
        <v>6</v>
      </c>
      <c r="J593" s="4">
        <v>8</v>
      </c>
      <c r="K593" s="4">
        <f>I593*J593</f>
        <v>48</v>
      </c>
      <c r="L593" s="3">
        <v>0.5</v>
      </c>
      <c r="M593" s="4">
        <f>K593*L593</f>
        <v>24</v>
      </c>
      <c r="N593" s="4">
        <v>20</v>
      </c>
      <c r="O593" s="4">
        <f>K593-M593+N593</f>
        <v>44</v>
      </c>
      <c r="P593" t="s">
        <v>43</v>
      </c>
      <c r="Q593" t="b">
        <v>1</v>
      </c>
      <c r="R593" t="s">
        <v>55</v>
      </c>
      <c r="S593" t="s">
        <v>68</v>
      </c>
      <c r="T593" t="s">
        <v>69</v>
      </c>
      <c r="U593" t="s">
        <v>78</v>
      </c>
      <c r="V593" t="s">
        <v>63</v>
      </c>
      <c r="W593" t="s">
        <v>1248</v>
      </c>
      <c r="X593" t="s">
        <v>80</v>
      </c>
      <c r="Y593">
        <v>9007199254741580</v>
      </c>
      <c r="Z593">
        <v>0</v>
      </c>
      <c r="AA593" t="s">
        <v>63</v>
      </c>
      <c r="AB593" t="b">
        <v>1</v>
      </c>
      <c r="AD593" s="3">
        <v>0.125</v>
      </c>
      <c r="AE593" s="2">
        <v>45929.5</v>
      </c>
      <c r="AF593" t="s">
        <v>60</v>
      </c>
    </row>
    <row r="594">
      <c r="A594" t="s">
        <v>1249</v>
      </c>
      <c r="B594" s="2">
        <v>45900.5</v>
      </c>
      <c r="C594" t="s">
        <v>37</v>
      </c>
      <c r="D594" t="s">
        <f>'客户档案'!B3</f>
        <v>38</v>
      </c>
      <c r="E594" t="s">
        <v>39</v>
      </c>
      <c r="F594" t="s">
        <v>40</v>
      </c>
      <c r="G594" t="s">
        <f>'商品目录'!B3</f>
        <v>41</v>
      </c>
      <c r="H594" t="s">
        <v>42</v>
      </c>
      <c r="I594">
        <v>8</v>
      </c>
      <c r="J594" s="4">
        <v>99</v>
      </c>
      <c r="K594" s="4">
        <f>I594*J594</f>
        <v>792</v>
      </c>
      <c r="L594" s="3">
        <v>0</v>
      </c>
      <c r="M594" s="4">
        <f>K594*L594</f>
        <v>0</v>
      </c>
      <c r="N594" s="4">
        <v>0</v>
      </c>
      <c r="O594" s="4">
        <f>K594-M594+N594</f>
        <v>792</v>
      </c>
      <c r="P594" t="s">
        <v>43</v>
      </c>
      <c r="Q594" t="b">
        <v>0</v>
      </c>
      <c r="R594" t="s">
        <v>44</v>
      </c>
      <c r="S594" t="s">
        <v>45</v>
      </c>
      <c r="T594" t="s">
        <v>46</v>
      </c>
      <c r="U594" t="s">
        <v>39</v>
      </c>
      <c r="V594" t="s">
        <v>38</v>
      </c>
      <c r="W594" t="s">
        <v>1250</v>
      </c>
      <c r="X594" t="s">
        <v>0</v>
      </c>
      <c r="Y594">
        <v>9007199254741581</v>
      </c>
      <c r="Z594">
        <v>0</v>
      </c>
      <c r="AA594" t="s">
        <v>38</v>
      </c>
      <c r="AB594" t="b">
        <v>0</v>
      </c>
      <c r="AD594" s="3">
        <v>0.125</v>
      </c>
      <c r="AE594" s="2">
        <v>45902.5</v>
      </c>
      <c r="AF594" t="s">
        <v>60</v>
      </c>
    </row>
    <row r="595">
      <c r="A595" t="s">
        <v>1251</v>
      </c>
      <c r="B595" s="2">
        <v>45901.5</v>
      </c>
      <c r="C595" t="s">
        <v>49</v>
      </c>
      <c r="D595" t="s">
        <f>'客户档案'!B4</f>
        <v>50</v>
      </c>
      <c r="E595" t="s">
        <v>51</v>
      </c>
      <c r="F595" t="s">
        <v>52</v>
      </c>
      <c r="G595" t="s">
        <f>'商品目录'!B4</f>
        <v>53</v>
      </c>
      <c r="H595" t="s">
        <v>54</v>
      </c>
      <c r="I595">
        <v>10</v>
      </c>
      <c r="J595" s="4">
        <v>129</v>
      </c>
      <c r="K595" s="4">
        <f>I595*J595</f>
        <v>1290</v>
      </c>
      <c r="L595" s="3">
        <v>0.5</v>
      </c>
      <c r="M595" s="4">
        <f>K595*L595</f>
        <v>645</v>
      </c>
      <c r="N595" s="4">
        <v>10</v>
      </c>
      <c r="O595" s="4">
        <f>K595-M595+N595</f>
        <v>655</v>
      </c>
      <c r="P595" t="s">
        <v>43</v>
      </c>
      <c r="Q595" t="b">
        <v>1</v>
      </c>
      <c r="R595" t="s">
        <v>55</v>
      </c>
      <c r="S595" t="s">
        <v>56</v>
      </c>
      <c r="T595" t="s">
        <v>57</v>
      </c>
      <c r="U595" t="s">
        <v>51</v>
      </c>
      <c r="V595" t="s">
        <v>50</v>
      </c>
      <c r="W595" t="s">
        <v>1252</v>
      </c>
      <c r="X595" t="s">
        <v>59</v>
      </c>
      <c r="Y595">
        <v>9007199254741582</v>
      </c>
      <c r="Z595">
        <v>0</v>
      </c>
      <c r="AA595" t="s">
        <v>50</v>
      </c>
      <c r="AB595" t="b">
        <v>1</v>
      </c>
      <c r="AD595" s="3">
        <v>0.125</v>
      </c>
      <c r="AE595" s="2">
        <v>45903.5</v>
      </c>
      <c r="AF595" t="s">
        <v>60</v>
      </c>
    </row>
    <row r="596">
      <c r="A596" t="s">
        <v>1253</v>
      </c>
      <c r="B596" s="2">
        <v>45902.5</v>
      </c>
      <c r="C596" t="s">
        <v>62</v>
      </c>
      <c r="D596" t="s">
        <f>'客户档案'!B5</f>
        <v>63</v>
      </c>
      <c r="E596" t="s">
        <v>64</v>
      </c>
      <c r="F596" t="s">
        <v>65</v>
      </c>
      <c r="G596" t="s">
        <f>'商品目录'!B5</f>
        <v>66</v>
      </c>
      <c r="H596" t="s">
        <v>67</v>
      </c>
      <c r="I596">
        <v>2</v>
      </c>
      <c r="J596" s="4">
        <v>45</v>
      </c>
      <c r="K596" s="4">
        <f>I596*J596</f>
        <v>90</v>
      </c>
      <c r="L596" s="3">
        <v>0</v>
      </c>
      <c r="M596" s="4">
        <f>K596*L596</f>
        <v>0</v>
      </c>
      <c r="N596" s="4">
        <v>20</v>
      </c>
      <c r="O596" s="4">
        <f>K596-M596+N596</f>
        <v>110</v>
      </c>
      <c r="P596" t="s">
        <v>43</v>
      </c>
      <c r="Q596" t="b">
        <v>1</v>
      </c>
      <c r="R596" t="s">
        <v>55</v>
      </c>
      <c r="S596" t="s">
        <v>68</v>
      </c>
      <c r="T596" t="s">
        <v>69</v>
      </c>
      <c r="U596" t="s">
        <v>70</v>
      </c>
      <c r="V596" t="s">
        <v>63</v>
      </c>
      <c r="W596" t="s">
        <v>1254</v>
      </c>
      <c r="X596" t="s">
        <v>72</v>
      </c>
      <c r="Y596">
        <v>9007199254741583</v>
      </c>
      <c r="Z596">
        <v>0</v>
      </c>
      <c r="AA596" t="s">
        <v>63</v>
      </c>
      <c r="AB596" t="b">
        <v>0</v>
      </c>
      <c r="AD596" s="3">
        <v>0.125</v>
      </c>
      <c r="AE596" s="2">
        <v>45904.5</v>
      </c>
      <c r="AF596" t="s">
        <v>60</v>
      </c>
    </row>
    <row r="597">
      <c r="A597" t="s">
        <v>1255</v>
      </c>
      <c r="B597" s="2">
        <v>45903.5</v>
      </c>
      <c r="C597" t="s">
        <v>37</v>
      </c>
      <c r="D597" t="s">
        <f>'客户档案'!B3</f>
        <v>38</v>
      </c>
      <c r="E597" t="s">
        <v>74</v>
      </c>
      <c r="F597" t="s">
        <v>75</v>
      </c>
      <c r="G597" t="s">
        <f>'商品目录'!B6</f>
        <v>76</v>
      </c>
      <c r="H597" t="s">
        <v>77</v>
      </c>
      <c r="I597">
        <v>4</v>
      </c>
      <c r="J597" s="4">
        <v>8</v>
      </c>
      <c r="K597" s="4">
        <f>I597*J597</f>
        <v>32</v>
      </c>
      <c r="L597" s="3">
        <v>0.5</v>
      </c>
      <c r="M597" s="4">
        <f>K597*L597</f>
        <v>16</v>
      </c>
      <c r="N597" s="4">
        <v>0</v>
      </c>
      <c r="O597" s="4">
        <f>K597-M597+N597</f>
        <v>16</v>
      </c>
      <c r="P597" t="s">
        <v>43</v>
      </c>
      <c r="Q597" t="b">
        <v>1</v>
      </c>
      <c r="R597" t="s">
        <v>55</v>
      </c>
      <c r="S597" t="s">
        <v>45</v>
      </c>
      <c r="T597" t="s">
        <v>46</v>
      </c>
      <c r="U597" t="s">
        <v>78</v>
      </c>
      <c r="V597" t="s">
        <v>38</v>
      </c>
      <c r="W597" t="s">
        <v>1256</v>
      </c>
      <c r="X597" t="s">
        <v>80</v>
      </c>
      <c r="Y597">
        <v>9007199254741584</v>
      </c>
      <c r="Z597">
        <v>0</v>
      </c>
      <c r="AA597" t="s">
        <v>38</v>
      </c>
      <c r="AB597" t="b">
        <v>1</v>
      </c>
      <c r="AD597" s="3">
        <v>0.125</v>
      </c>
      <c r="AE597" s="2">
        <v>45905.5</v>
      </c>
      <c r="AF597" t="s">
        <v>60</v>
      </c>
    </row>
    <row r="598">
      <c r="A598" t="s">
        <v>1257</v>
      </c>
      <c r="B598" s="2">
        <v>45904.5</v>
      </c>
      <c r="C598" t="s">
        <v>49</v>
      </c>
      <c r="D598" t="s">
        <f>'客户档案'!B4</f>
        <v>50</v>
      </c>
      <c r="E598" t="s">
        <v>39</v>
      </c>
      <c r="F598" t="s">
        <v>40</v>
      </c>
      <c r="G598" t="s">
        <f>'商品目录'!B3</f>
        <v>41</v>
      </c>
      <c r="H598" t="s">
        <v>42</v>
      </c>
      <c r="I598">
        <v>6</v>
      </c>
      <c r="J598" s="4">
        <v>99</v>
      </c>
      <c r="K598" s="4">
        <f>I598*J598</f>
        <v>594</v>
      </c>
      <c r="L598" s="3">
        <v>0</v>
      </c>
      <c r="M598" s="4">
        <f>K598*L598</f>
        <v>0</v>
      </c>
      <c r="N598" s="4">
        <v>10</v>
      </c>
      <c r="O598" s="4">
        <f>K598-M598+N598</f>
        <v>604</v>
      </c>
      <c r="P598" t="s">
        <v>43</v>
      </c>
      <c r="Q598" t="b">
        <v>0</v>
      </c>
      <c r="R598" t="s">
        <v>44</v>
      </c>
      <c r="S598" t="s">
        <v>56</v>
      </c>
      <c r="T598" t="s">
        <v>57</v>
      </c>
      <c r="U598" t="s">
        <v>39</v>
      </c>
      <c r="V598" t="s">
        <v>50</v>
      </c>
      <c r="W598" t="s">
        <v>1258</v>
      </c>
      <c r="X598" t="s">
        <v>0</v>
      </c>
      <c r="Y598">
        <v>9007199254741585</v>
      </c>
      <c r="Z598">
        <v>0</v>
      </c>
      <c r="AA598" t="s">
        <v>50</v>
      </c>
      <c r="AB598" t="b">
        <v>0</v>
      </c>
      <c r="AD598" s="3">
        <v>0.125</v>
      </c>
      <c r="AE598" s="2">
        <v>45906.5</v>
      </c>
      <c r="AF598" t="s">
        <v>60</v>
      </c>
    </row>
    <row r="599">
      <c r="A599" t="s">
        <v>1259</v>
      </c>
      <c r="B599" s="2">
        <v>45905.5</v>
      </c>
      <c r="C599" t="s">
        <v>62</v>
      </c>
      <c r="D599" t="s">
        <f>'客户档案'!B5</f>
        <v>63</v>
      </c>
      <c r="E599" t="s">
        <v>51</v>
      </c>
      <c r="F599" t="s">
        <v>52</v>
      </c>
      <c r="G599" t="s">
        <f>'商品目录'!B4</f>
        <v>53</v>
      </c>
      <c r="H599" t="s">
        <v>54</v>
      </c>
      <c r="I599">
        <v>8</v>
      </c>
      <c r="J599" s="4">
        <v>129</v>
      </c>
      <c r="K599" s="4">
        <f>I599*J599</f>
        <v>1032</v>
      </c>
      <c r="L599" s="3">
        <v>0.5</v>
      </c>
      <c r="M599" s="4">
        <f>K599*L599</f>
        <v>516</v>
      </c>
      <c r="N599" s="4">
        <v>20</v>
      </c>
      <c r="O599" s="4">
        <f>K599-M599+N599</f>
        <v>536</v>
      </c>
      <c r="P599" t="s">
        <v>43</v>
      </c>
      <c r="Q599" t="b">
        <v>1</v>
      </c>
      <c r="R599" t="s">
        <v>55</v>
      </c>
      <c r="S599" t="s">
        <v>68</v>
      </c>
      <c r="T599" t="s">
        <v>69</v>
      </c>
      <c r="U599" t="s">
        <v>51</v>
      </c>
      <c r="V599" t="s">
        <v>63</v>
      </c>
      <c r="W599" t="s">
        <v>1260</v>
      </c>
      <c r="X599" t="s">
        <v>59</v>
      </c>
      <c r="Y599">
        <v>9007199254741586</v>
      </c>
      <c r="Z599">
        <v>0</v>
      </c>
      <c r="AA599" t="s">
        <v>63</v>
      </c>
      <c r="AB599" t="b">
        <v>1</v>
      </c>
      <c r="AD599" s="3">
        <v>0.125</v>
      </c>
      <c r="AE599" s="2">
        <v>45907.5</v>
      </c>
      <c r="AF599" t="s">
        <v>60</v>
      </c>
    </row>
    <row r="600">
      <c r="A600" t="s">
        <v>1261</v>
      </c>
      <c r="B600" s="2">
        <v>45906.5</v>
      </c>
      <c r="C600" t="s">
        <v>37</v>
      </c>
      <c r="D600" t="s">
        <f>'客户档案'!B3</f>
        <v>38</v>
      </c>
      <c r="E600" t="s">
        <v>64</v>
      </c>
      <c r="F600" t="s">
        <v>65</v>
      </c>
      <c r="G600" t="s">
        <f>'商品目录'!B5</f>
        <v>66</v>
      </c>
      <c r="H600" t="s">
        <v>67</v>
      </c>
      <c r="I600">
        <v>10</v>
      </c>
      <c r="J600" s="4">
        <v>45</v>
      </c>
      <c r="K600" s="4">
        <f>I600*J600</f>
        <v>450</v>
      </c>
      <c r="L600" s="3">
        <v>0</v>
      </c>
      <c r="M600" s="4">
        <f>K600*L600</f>
        <v>0</v>
      </c>
      <c r="N600" s="4">
        <v>0</v>
      </c>
      <c r="O600" s="4">
        <f>K600-M600+N600</f>
        <v>450</v>
      </c>
      <c r="P600" t="s">
        <v>43</v>
      </c>
      <c r="Q600" t="b">
        <v>1</v>
      </c>
      <c r="R600" t="s">
        <v>55</v>
      </c>
      <c r="S600" t="s">
        <v>45</v>
      </c>
      <c r="T600" t="s">
        <v>46</v>
      </c>
      <c r="U600" t="s">
        <v>70</v>
      </c>
      <c r="V600" t="s">
        <v>38</v>
      </c>
      <c r="W600" t="s">
        <v>1262</v>
      </c>
      <c r="X600" t="s">
        <v>72</v>
      </c>
      <c r="Y600">
        <v>9007199254741587</v>
      </c>
      <c r="Z600">
        <v>0</v>
      </c>
      <c r="AA600" t="s">
        <v>38</v>
      </c>
      <c r="AB600" t="b">
        <v>0</v>
      </c>
      <c r="AD600" s="3">
        <v>0.125</v>
      </c>
      <c r="AE600" s="2">
        <v>45908.5</v>
      </c>
      <c r="AF600" t="s">
        <v>60</v>
      </c>
    </row>
    <row r="601">
      <c r="A601" t="s">
        <v>1263</v>
      </c>
      <c r="B601" s="2">
        <v>45907.5</v>
      </c>
      <c r="C601" t="s">
        <v>49</v>
      </c>
      <c r="D601" t="s">
        <f>'客户档案'!B4</f>
        <v>50</v>
      </c>
      <c r="E601" t="s">
        <v>74</v>
      </c>
      <c r="F601" t="s">
        <v>75</v>
      </c>
      <c r="G601" t="s">
        <f>'商品目录'!B6</f>
        <v>76</v>
      </c>
      <c r="H601" t="s">
        <v>77</v>
      </c>
      <c r="I601">
        <v>2</v>
      </c>
      <c r="J601" s="4">
        <v>8</v>
      </c>
      <c r="K601" s="4">
        <f>I601*J601</f>
        <v>16</v>
      </c>
      <c r="L601" s="3">
        <v>0.5</v>
      </c>
      <c r="M601" s="4">
        <f>K601*L601</f>
        <v>8</v>
      </c>
      <c r="N601" s="4">
        <v>10</v>
      </c>
      <c r="O601" s="4">
        <f>K601-M601+N601</f>
        <v>18</v>
      </c>
      <c r="P601" t="s">
        <v>43</v>
      </c>
      <c r="Q601" t="b">
        <v>1</v>
      </c>
      <c r="R601" t="s">
        <v>55</v>
      </c>
      <c r="S601" t="s">
        <v>56</v>
      </c>
      <c r="T601" t="s">
        <v>57</v>
      </c>
      <c r="U601" t="s">
        <v>78</v>
      </c>
      <c r="V601" t="s">
        <v>50</v>
      </c>
      <c r="W601" t="s">
        <v>1264</v>
      </c>
      <c r="X601" t="s">
        <v>80</v>
      </c>
      <c r="Y601">
        <v>9007199254741588</v>
      </c>
      <c r="Z601">
        <v>2</v>
      </c>
      <c r="AA601" t="s">
        <v>50</v>
      </c>
      <c r="AB601" t="b">
        <v>1</v>
      </c>
      <c r="AD601" s="3">
        <v>0.125</v>
      </c>
      <c r="AE601" s="2">
        <v>45909.5</v>
      </c>
      <c r="AF601" t="s">
        <v>60</v>
      </c>
    </row>
    <row r="602">
      <c r="A602" t="s">
        <v>1265</v>
      </c>
      <c r="B602" s="2">
        <v>45908.5</v>
      </c>
      <c r="C602" t="s">
        <v>62</v>
      </c>
      <c r="D602" t="s">
        <f>'客户档案'!B5</f>
        <v>63</v>
      </c>
      <c r="E602" t="s">
        <v>39</v>
      </c>
      <c r="F602" t="s">
        <v>40</v>
      </c>
      <c r="G602" t="s">
        <f>'商品目录'!B3</f>
        <v>41</v>
      </c>
      <c r="H602" t="s">
        <v>42</v>
      </c>
      <c r="I602">
        <v>4</v>
      </c>
      <c r="J602" s="4">
        <v>99</v>
      </c>
      <c r="K602" s="4">
        <f>I602*J602</f>
        <v>396</v>
      </c>
      <c r="L602" s="3">
        <v>0</v>
      </c>
      <c r="M602" s="4">
        <f>K602*L602</f>
        <v>0</v>
      </c>
      <c r="N602" s="4">
        <v>20</v>
      </c>
      <c r="O602" s="4">
        <f>K602-M602+N602</f>
        <v>416</v>
      </c>
      <c r="P602" t="s">
        <v>43</v>
      </c>
      <c r="Q602" t="b">
        <v>0</v>
      </c>
      <c r="R602" t="s">
        <v>44</v>
      </c>
      <c r="S602" t="s">
        <v>68</v>
      </c>
      <c r="T602" t="s">
        <v>69</v>
      </c>
      <c r="U602" t="s">
        <v>39</v>
      </c>
      <c r="V602" t="s">
        <v>63</v>
      </c>
      <c r="W602" t="s">
        <v>1266</v>
      </c>
      <c r="X602" t="s">
        <v>0</v>
      </c>
      <c r="Y602">
        <v>9007199254741589</v>
      </c>
      <c r="Z602">
        <v>0</v>
      </c>
      <c r="AA602" t="s">
        <v>63</v>
      </c>
      <c r="AB602" t="b">
        <v>0</v>
      </c>
      <c r="AD602" s="3">
        <v>0.125</v>
      </c>
      <c r="AE602" s="2">
        <v>45910.5</v>
      </c>
      <c r="AF602" t="s">
        <v>60</v>
      </c>
    </row>
    <row r="603">
      <c r="A603" t="s">
        <v>1267</v>
      </c>
      <c r="B603" s="2">
        <v>45909.5</v>
      </c>
      <c r="C603" t="s">
        <v>37</v>
      </c>
      <c r="D603" t="s">
        <f>'客户档案'!B3</f>
        <v>38</v>
      </c>
      <c r="E603" t="s">
        <v>51</v>
      </c>
      <c r="F603" t="s">
        <v>52</v>
      </c>
      <c r="G603" t="s">
        <f>'商品目录'!B4</f>
        <v>53</v>
      </c>
      <c r="H603" t="s">
        <v>54</v>
      </c>
      <c r="I603">
        <v>6</v>
      </c>
      <c r="J603" s="4">
        <v>129</v>
      </c>
      <c r="K603" s="4">
        <f>I603*J603</f>
        <v>774</v>
      </c>
      <c r="L603" s="3">
        <v>0.5</v>
      </c>
      <c r="M603" s="4">
        <f>K603*L603</f>
        <v>387</v>
      </c>
      <c r="N603" s="4">
        <v>0</v>
      </c>
      <c r="O603" s="4">
        <f>K603-M603+N603</f>
        <v>387</v>
      </c>
      <c r="P603" t="s">
        <v>43</v>
      </c>
      <c r="Q603" t="b">
        <v>1</v>
      </c>
      <c r="R603" t="s">
        <v>55</v>
      </c>
      <c r="S603" t="s">
        <v>45</v>
      </c>
      <c r="T603" t="s">
        <v>46</v>
      </c>
      <c r="U603" t="s">
        <v>51</v>
      </c>
      <c r="V603" t="s">
        <v>38</v>
      </c>
      <c r="W603" t="s">
        <v>1268</v>
      </c>
      <c r="X603" t="s">
        <v>59</v>
      </c>
      <c r="Y603">
        <v>9007199254741590</v>
      </c>
      <c r="Z603">
        <v>0</v>
      </c>
      <c r="AA603" t="s">
        <v>38</v>
      </c>
      <c r="AB603" t="b">
        <v>1</v>
      </c>
      <c r="AD603" s="3">
        <v>0.125</v>
      </c>
      <c r="AE603" s="2">
        <v>45911.5</v>
      </c>
      <c r="AF603" t="s">
        <v>60</v>
      </c>
    </row>
    <row r="604">
      <c r="A604" t="s">
        <v>1269</v>
      </c>
      <c r="B604" s="2">
        <v>45910.5</v>
      </c>
      <c r="C604" t="s">
        <v>49</v>
      </c>
      <c r="D604" t="s">
        <f>'客户档案'!B4</f>
        <v>50</v>
      </c>
      <c r="E604" t="s">
        <v>64</v>
      </c>
      <c r="F604" t="s">
        <v>65</v>
      </c>
      <c r="G604" t="s">
        <f>'商品目录'!B5</f>
        <v>66</v>
      </c>
      <c r="H604" t="s">
        <v>67</v>
      </c>
      <c r="I604">
        <v>8</v>
      </c>
      <c r="J604" s="4">
        <v>45</v>
      </c>
      <c r="K604" s="4">
        <f>I604*J604</f>
        <v>360</v>
      </c>
      <c r="L604" s="3">
        <v>0</v>
      </c>
      <c r="M604" s="4">
        <f>K604*L604</f>
        <v>0</v>
      </c>
      <c r="N604" s="4">
        <v>10</v>
      </c>
      <c r="O604" s="4">
        <f>K604-M604+N604</f>
        <v>370</v>
      </c>
      <c r="P604" t="s">
        <v>43</v>
      </c>
      <c r="Q604" t="b">
        <v>1</v>
      </c>
      <c r="R604" t="s">
        <v>55</v>
      </c>
      <c r="S604" t="s">
        <v>56</v>
      </c>
      <c r="T604" t="s">
        <v>57</v>
      </c>
      <c r="U604" t="s">
        <v>70</v>
      </c>
      <c r="V604" t="s">
        <v>50</v>
      </c>
      <c r="W604" t="s">
        <v>1270</v>
      </c>
      <c r="X604" t="s">
        <v>72</v>
      </c>
      <c r="Y604">
        <v>9007199254741591</v>
      </c>
      <c r="Z604">
        <v>0</v>
      </c>
      <c r="AA604" t="s">
        <v>50</v>
      </c>
      <c r="AB604" t="b">
        <v>0</v>
      </c>
      <c r="AD604" s="3">
        <v>0.125</v>
      </c>
      <c r="AE604" s="2">
        <v>45912.5</v>
      </c>
      <c r="AF604" t="s">
        <v>60</v>
      </c>
    </row>
    <row r="605">
      <c r="A605" t="s">
        <v>1271</v>
      </c>
      <c r="B605" s="2">
        <v>45911.5</v>
      </c>
      <c r="C605" t="s">
        <v>62</v>
      </c>
      <c r="D605" t="s">
        <f>'客户档案'!B5</f>
        <v>63</v>
      </c>
      <c r="E605" t="s">
        <v>74</v>
      </c>
      <c r="F605" t="s">
        <v>75</v>
      </c>
      <c r="G605" t="s">
        <f>'商品目录'!B6</f>
        <v>76</v>
      </c>
      <c r="H605" t="s">
        <v>77</v>
      </c>
      <c r="I605">
        <v>10</v>
      </c>
      <c r="J605" s="4">
        <v>8</v>
      </c>
      <c r="K605" s="4">
        <f>I605*J605</f>
        <v>80</v>
      </c>
      <c r="L605" s="3">
        <v>0.5</v>
      </c>
      <c r="M605" s="4">
        <f>K605*L605</f>
        <v>40</v>
      </c>
      <c r="N605" s="4">
        <v>20</v>
      </c>
      <c r="O605" s="4">
        <f>K605-M605+N605</f>
        <v>60</v>
      </c>
      <c r="P605" t="s">
        <v>43</v>
      </c>
      <c r="Q605" t="b">
        <v>1</v>
      </c>
      <c r="R605" t="s">
        <v>55</v>
      </c>
      <c r="S605" t="s">
        <v>68</v>
      </c>
      <c r="T605" t="s">
        <v>69</v>
      </c>
      <c r="U605" t="s">
        <v>78</v>
      </c>
      <c r="V605" t="s">
        <v>63</v>
      </c>
      <c r="W605" t="s">
        <v>1272</v>
      </c>
      <c r="X605" t="s">
        <v>80</v>
      </c>
      <c r="Y605">
        <v>9007199254741592</v>
      </c>
      <c r="Z605">
        <v>0</v>
      </c>
      <c r="AA605" t="s">
        <v>63</v>
      </c>
      <c r="AB605" t="b">
        <v>1</v>
      </c>
      <c r="AD605" s="3">
        <v>0.125</v>
      </c>
      <c r="AE605" s="2">
        <v>45913.5</v>
      </c>
      <c r="AF605" t="s">
        <v>60</v>
      </c>
    </row>
    <row r="607">
      <c r="A607" t="s">
        <v>1273</v>
      </c>
      <c r="B607" s="2">
        <v>45912.5</v>
      </c>
      <c r="C607" t="s">
        <v>37</v>
      </c>
      <c r="D607" t="s">
        <f>'客户档案'!B3</f>
        <v>38</v>
      </c>
      <c r="E607" t="s">
        <v>39</v>
      </c>
      <c r="F607" t="s">
        <v>40</v>
      </c>
      <c r="G607" t="s">
        <f>'商品目录'!B3</f>
        <v>41</v>
      </c>
      <c r="H607" t="s">
        <v>42</v>
      </c>
      <c r="I607">
        <v>2</v>
      </c>
      <c r="J607" s="4">
        <v>99</v>
      </c>
      <c r="K607" s="4">
        <f>I607*J607</f>
        <v>198</v>
      </c>
      <c r="L607" s="3">
        <v>0</v>
      </c>
      <c r="M607" s="4">
        <f>K607*L607</f>
        <v>0</v>
      </c>
      <c r="N607" s="4">
        <v>0</v>
      </c>
      <c r="O607" s="4">
        <f>K607-M607+N607</f>
        <v>198</v>
      </c>
      <c r="P607" t="s">
        <v>43</v>
      </c>
      <c r="Q607" t="b">
        <v>0</v>
      </c>
      <c r="R607" t="s">
        <v>44</v>
      </c>
      <c r="S607" t="s">
        <v>45</v>
      </c>
      <c r="T607" t="s">
        <v>46</v>
      </c>
      <c r="U607" t="s">
        <v>39</v>
      </c>
      <c r="V607" t="s">
        <v>38</v>
      </c>
      <c r="W607" t="s">
        <v>1274</v>
      </c>
      <c r="X607" t="s">
        <v>0</v>
      </c>
      <c r="Y607">
        <v>9007199254741593</v>
      </c>
      <c r="Z607">
        <v>0</v>
      </c>
      <c r="AA607" t="s">
        <v>38</v>
      </c>
      <c r="AB607" t="b">
        <v>0</v>
      </c>
      <c r="AD607" s="3">
        <v>0.125</v>
      </c>
      <c r="AE607" s="2">
        <v>45914.5</v>
      </c>
      <c r="AF607" t="s">
        <v>60</v>
      </c>
    </row>
    <row r="608">
      <c r="A608" t="s">
        <v>1275</v>
      </c>
      <c r="B608" s="2">
        <v>45913.5</v>
      </c>
      <c r="C608" t="s">
        <v>49</v>
      </c>
      <c r="D608" t="s">
        <f>'客户档案'!B4</f>
        <v>50</v>
      </c>
      <c r="E608" t="s">
        <v>51</v>
      </c>
      <c r="F608" t="s">
        <v>52</v>
      </c>
      <c r="G608" t="s">
        <f>'商品目录'!B4</f>
        <v>53</v>
      </c>
      <c r="H608" t="s">
        <v>54</v>
      </c>
      <c r="I608">
        <v>4</v>
      </c>
      <c r="J608" s="4">
        <v>129</v>
      </c>
      <c r="K608" s="4">
        <f>I608*J608</f>
        <v>516</v>
      </c>
      <c r="L608" s="3">
        <v>0.5</v>
      </c>
      <c r="M608" s="4">
        <f>K608*L608</f>
        <v>258</v>
      </c>
      <c r="N608" s="4">
        <v>10</v>
      </c>
      <c r="O608" s="4">
        <f>K608-M608+N608</f>
        <v>268</v>
      </c>
      <c r="P608" t="s">
        <v>43</v>
      </c>
      <c r="Q608" t="b">
        <v>1</v>
      </c>
      <c r="R608" t="s">
        <v>55</v>
      </c>
      <c r="S608" t="s">
        <v>56</v>
      </c>
      <c r="T608" t="s">
        <v>57</v>
      </c>
      <c r="U608" t="s">
        <v>51</v>
      </c>
      <c r="V608" t="s">
        <v>50</v>
      </c>
      <c r="W608" t="s">
        <v>1276</v>
      </c>
      <c r="X608" t="s">
        <v>59</v>
      </c>
      <c r="Y608">
        <v>9007199254741594</v>
      </c>
      <c r="Z608">
        <v>0</v>
      </c>
      <c r="AA608" t="s">
        <v>50</v>
      </c>
      <c r="AB608" t="b">
        <v>1</v>
      </c>
      <c r="AD608" s="3">
        <v>0.125</v>
      </c>
      <c r="AE608" s="2">
        <v>45915.5</v>
      </c>
      <c r="AF608" t="s">
        <v>60</v>
      </c>
    </row>
    <row r="609">
      <c r="A609" t="s">
        <v>1277</v>
      </c>
      <c r="B609" s="2">
        <v>45914.5</v>
      </c>
      <c r="C609" t="s">
        <v>62</v>
      </c>
      <c r="D609" t="s">
        <f>'客户档案'!B5</f>
        <v>63</v>
      </c>
      <c r="E609" t="s">
        <v>64</v>
      </c>
      <c r="F609" t="s">
        <v>65</v>
      </c>
      <c r="G609" t="s">
        <f>'商品目录'!B5</f>
        <v>66</v>
      </c>
      <c r="H609" t="s">
        <v>67</v>
      </c>
      <c r="I609">
        <v>6</v>
      </c>
      <c r="J609" s="4">
        <v>45</v>
      </c>
      <c r="K609" s="4">
        <f>I609*J609</f>
        <v>270</v>
      </c>
      <c r="L609" s="3">
        <v>0</v>
      </c>
      <c r="M609" s="4">
        <f>K609*L609</f>
        <v>0</v>
      </c>
      <c r="N609" s="4">
        <v>20</v>
      </c>
      <c r="O609" s="4">
        <f>K609-M609+N609</f>
        <v>290</v>
      </c>
      <c r="P609" t="s">
        <v>43</v>
      </c>
      <c r="Q609" t="b">
        <v>1</v>
      </c>
      <c r="R609" t="s">
        <v>55</v>
      </c>
      <c r="S609" t="s">
        <v>68</v>
      </c>
      <c r="T609" t="s">
        <v>69</v>
      </c>
      <c r="U609" t="s">
        <v>70</v>
      </c>
      <c r="V609" t="s">
        <v>63</v>
      </c>
      <c r="W609" t="s">
        <v>1278</v>
      </c>
      <c r="X609" t="s">
        <v>72</v>
      </c>
      <c r="Y609">
        <v>9007199254741595</v>
      </c>
      <c r="Z609">
        <v>0</v>
      </c>
      <c r="AA609" t="s">
        <v>63</v>
      </c>
      <c r="AB609" t="b">
        <v>0</v>
      </c>
      <c r="AD609" s="3">
        <v>0.125</v>
      </c>
      <c r="AE609" s="2">
        <v>45916.5</v>
      </c>
      <c r="AF609" t="s">
        <v>60</v>
      </c>
    </row>
    <row r="610">
      <c r="A610" t="s">
        <v>1279</v>
      </c>
      <c r="B610" s="2">
        <v>45915.5</v>
      </c>
      <c r="C610" t="s">
        <v>37</v>
      </c>
      <c r="D610" t="s">
        <f>'客户档案'!B3</f>
        <v>38</v>
      </c>
      <c r="E610" t="s">
        <v>74</v>
      </c>
      <c r="F610" t="s">
        <v>75</v>
      </c>
      <c r="G610" t="s">
        <f>'商品目录'!B6</f>
        <v>76</v>
      </c>
      <c r="H610" t="s">
        <v>77</v>
      </c>
      <c r="I610">
        <v>8</v>
      </c>
      <c r="J610" s="4">
        <v>8</v>
      </c>
      <c r="K610" s="4">
        <f>I610*J610</f>
        <v>64</v>
      </c>
      <c r="L610" s="3">
        <v>0.5</v>
      </c>
      <c r="M610" s="4">
        <f>K610*L610</f>
        <v>32</v>
      </c>
      <c r="N610" s="4">
        <v>0</v>
      </c>
      <c r="O610" s="4">
        <f>K610-M610+N610</f>
        <v>32</v>
      </c>
      <c r="P610" t="s">
        <v>43</v>
      </c>
      <c r="Q610" t="b">
        <v>1</v>
      </c>
      <c r="R610" t="s">
        <v>55</v>
      </c>
      <c r="S610" t="s">
        <v>45</v>
      </c>
      <c r="T610" t="s">
        <v>46</v>
      </c>
      <c r="U610" t="s">
        <v>78</v>
      </c>
      <c r="V610" t="s">
        <v>38</v>
      </c>
      <c r="W610" t="s">
        <v>1280</v>
      </c>
      <c r="X610" t="s">
        <v>80</v>
      </c>
      <c r="Y610">
        <v>9007199254741596</v>
      </c>
      <c r="Z610">
        <v>0</v>
      </c>
      <c r="AA610" t="s">
        <v>38</v>
      </c>
      <c r="AB610" t="b">
        <v>1</v>
      </c>
      <c r="AD610" s="3">
        <v>0.125</v>
      </c>
      <c r="AE610" s="2">
        <v>45917.5</v>
      </c>
      <c r="AF610" t="s">
        <v>60</v>
      </c>
    </row>
    <row r="611">
      <c r="A611" t="s">
        <v>1281</v>
      </c>
      <c r="B611" s="2">
        <v>45916.5</v>
      </c>
      <c r="C611" t="s">
        <v>49</v>
      </c>
      <c r="D611" t="s">
        <f>'客户档案'!B4</f>
        <v>50</v>
      </c>
      <c r="E611" t="s">
        <v>39</v>
      </c>
      <c r="F611" t="s">
        <v>40</v>
      </c>
      <c r="G611" t="s">
        <f>'商品目录'!B3</f>
        <v>41</v>
      </c>
      <c r="H611" t="s">
        <v>42</v>
      </c>
      <c r="I611">
        <v>10</v>
      </c>
      <c r="J611" s="4">
        <v>99</v>
      </c>
      <c r="K611" s="4">
        <f>I611*J611</f>
        <v>990</v>
      </c>
      <c r="L611" s="3">
        <v>0</v>
      </c>
      <c r="M611" s="4">
        <f>K611*L611</f>
        <v>0</v>
      </c>
      <c r="N611" s="4">
        <v>10</v>
      </c>
      <c r="O611" s="4">
        <f>K611-M611+N611</f>
        <v>1000</v>
      </c>
      <c r="P611" t="s">
        <v>43</v>
      </c>
      <c r="Q611" t="b">
        <v>0</v>
      </c>
      <c r="R611" t="s">
        <v>44</v>
      </c>
      <c r="S611" t="s">
        <v>56</v>
      </c>
      <c r="T611" t="s">
        <v>57</v>
      </c>
      <c r="U611" t="s">
        <v>39</v>
      </c>
      <c r="V611" t="s">
        <v>50</v>
      </c>
      <c r="W611" t="s">
        <v>1282</v>
      </c>
      <c r="X611" t="s">
        <v>0</v>
      </c>
      <c r="Y611">
        <v>9007199254741597</v>
      </c>
      <c r="Z611">
        <v>0</v>
      </c>
      <c r="AA611" t="s">
        <v>50</v>
      </c>
      <c r="AB611" t="b">
        <v>0</v>
      </c>
      <c r="AD611" s="3">
        <v>0.125</v>
      </c>
      <c r="AE611" s="2">
        <v>45918.5</v>
      </c>
      <c r="AF611" t="s">
        <v>60</v>
      </c>
    </row>
    <row r="612">
      <c r="A612" t="s">
        <v>1283</v>
      </c>
      <c r="B612" s="2">
        <v>45917.5</v>
      </c>
      <c r="C612" t="s">
        <v>62</v>
      </c>
      <c r="D612" t="s">
        <f>'客户档案'!B5</f>
        <v>63</v>
      </c>
      <c r="E612" t="s">
        <v>51</v>
      </c>
      <c r="F612" t="s">
        <v>52</v>
      </c>
      <c r="G612" t="s">
        <f>'商品目录'!B4</f>
        <v>53</v>
      </c>
      <c r="H612" t="s">
        <v>54</v>
      </c>
      <c r="I612">
        <v>2</v>
      </c>
      <c r="J612" s="4">
        <v>129</v>
      </c>
      <c r="K612" s="4">
        <f>I612*J612</f>
        <v>258</v>
      </c>
      <c r="L612" s="3">
        <v>0.5</v>
      </c>
      <c r="M612" s="4">
        <f>K612*L612</f>
        <v>129</v>
      </c>
      <c r="N612" s="4">
        <v>20</v>
      </c>
      <c r="O612" s="4">
        <f>K612-M612+N612</f>
        <v>149</v>
      </c>
      <c r="P612" t="s">
        <v>43</v>
      </c>
      <c r="Q612" t="b">
        <v>1</v>
      </c>
      <c r="R612" t="s">
        <v>55</v>
      </c>
      <c r="S612" t="s">
        <v>68</v>
      </c>
      <c r="T612" t="s">
        <v>69</v>
      </c>
      <c r="U612" t="s">
        <v>51</v>
      </c>
      <c r="V612" t="s">
        <v>63</v>
      </c>
      <c r="W612" t="s">
        <v>1284</v>
      </c>
      <c r="X612" t="s">
        <v>59</v>
      </c>
      <c r="Y612">
        <v>9007199254741598</v>
      </c>
      <c r="Z612">
        <v>0</v>
      </c>
      <c r="AA612" t="s">
        <v>63</v>
      </c>
      <c r="AB612" t="b">
        <v>1</v>
      </c>
      <c r="AD612" s="3">
        <v>0.125</v>
      </c>
      <c r="AE612" s="2">
        <v>45919.5</v>
      </c>
      <c r="AF612" t="s">
        <v>60</v>
      </c>
    </row>
    <row r="613">
      <c r="A613" t="s">
        <v>1285</v>
      </c>
      <c r="B613" s="2">
        <v>45918.5</v>
      </c>
      <c r="C613" t="s">
        <v>37</v>
      </c>
      <c r="D613" t="s">
        <f>'客户档案'!B3</f>
        <v>38</v>
      </c>
      <c r="E613" t="s">
        <v>64</v>
      </c>
      <c r="F613" t="s">
        <v>65</v>
      </c>
      <c r="G613" t="s">
        <f>'商品目录'!B5</f>
        <v>66</v>
      </c>
      <c r="H613" t="s">
        <v>67</v>
      </c>
      <c r="I613">
        <v>4</v>
      </c>
      <c r="J613" s="4">
        <v>45</v>
      </c>
      <c r="K613" s="4">
        <f>I613*J613</f>
        <v>180</v>
      </c>
      <c r="L613" s="3">
        <v>0</v>
      </c>
      <c r="M613" s="4">
        <f>K613*L613</f>
        <v>0</v>
      </c>
      <c r="N613" s="4">
        <v>0</v>
      </c>
      <c r="O613" s="4">
        <f>K613-M613+N613</f>
        <v>180</v>
      </c>
      <c r="P613" t="s">
        <v>43</v>
      </c>
      <c r="Q613" t="b">
        <v>1</v>
      </c>
      <c r="R613" t="s">
        <v>55</v>
      </c>
      <c r="S613" t="s">
        <v>45</v>
      </c>
      <c r="T613" t="s">
        <v>46</v>
      </c>
      <c r="U613" t="s">
        <v>70</v>
      </c>
      <c r="V613" t="s">
        <v>38</v>
      </c>
      <c r="W613" t="s">
        <v>1286</v>
      </c>
      <c r="X613" t="s">
        <v>72</v>
      </c>
      <c r="Y613">
        <v>9007199254741599</v>
      </c>
      <c r="Z613">
        <v>0</v>
      </c>
      <c r="AA613" t="s">
        <v>38</v>
      </c>
      <c r="AB613" t="b">
        <v>0</v>
      </c>
      <c r="AD613" s="3">
        <v>0.125</v>
      </c>
      <c r="AE613" s="2">
        <v>45920.5</v>
      </c>
      <c r="AF613" t="e">
        <v>#N/A</v>
      </c>
    </row>
    <row r="614">
      <c r="A614" t="s">
        <v>1287</v>
      </c>
      <c r="B614" s="2">
        <v>45919.5</v>
      </c>
      <c r="C614" t="s">
        <v>49</v>
      </c>
      <c r="D614" t="s">
        <f>'客户档案'!B4</f>
        <v>50</v>
      </c>
      <c r="E614" t="s">
        <v>74</v>
      </c>
      <c r="F614" t="s">
        <v>75</v>
      </c>
      <c r="G614" t="s">
        <f>'商品目录'!B6</f>
        <v>76</v>
      </c>
      <c r="H614" t="s">
        <v>77</v>
      </c>
      <c r="I614">
        <v>6</v>
      </c>
      <c r="J614" s="4">
        <v>8</v>
      </c>
      <c r="K614" s="4">
        <f>I614*J614</f>
        <v>48</v>
      </c>
      <c r="L614" s="3">
        <v>0.5</v>
      </c>
      <c r="M614" s="4">
        <f>K614*L614</f>
        <v>24</v>
      </c>
      <c r="N614" s="4">
        <v>10</v>
      </c>
      <c r="O614" s="4">
        <f>K614-M614+N614</f>
        <v>34</v>
      </c>
      <c r="P614" t="s">
        <v>43</v>
      </c>
      <c r="Q614" t="b">
        <v>1</v>
      </c>
      <c r="R614" t="s">
        <v>55</v>
      </c>
      <c r="S614" t="s">
        <v>56</v>
      </c>
      <c r="T614" t="s">
        <v>57</v>
      </c>
      <c r="U614" t="s">
        <v>78</v>
      </c>
      <c r="V614" t="s">
        <v>50</v>
      </c>
      <c r="W614" t="s">
        <v>1288</v>
      </c>
      <c r="X614" t="s">
        <v>80</v>
      </c>
      <c r="Y614">
        <v>9007199254741600</v>
      </c>
      <c r="Z614">
        <v>0</v>
      </c>
      <c r="AA614" t="s">
        <v>50</v>
      </c>
      <c r="AB614" t="b">
        <v>1</v>
      </c>
      <c r="AD614" s="3">
        <v>0.125</v>
      </c>
      <c r="AE614" s="2">
        <v>45921.5</v>
      </c>
      <c r="AF614" t="s">
        <v>60</v>
      </c>
    </row>
    <row r="615">
      <c r="A615" t="s">
        <v>1289</v>
      </c>
      <c r="B615" s="2">
        <v>45920.5</v>
      </c>
      <c r="C615" t="s">
        <v>62</v>
      </c>
      <c r="D615" t="s">
        <f>'客户档案'!B5</f>
        <v>63</v>
      </c>
      <c r="E615" t="s">
        <v>39</v>
      </c>
      <c r="F615" t="s">
        <v>40</v>
      </c>
      <c r="G615" t="s">
        <f>'商品目录'!B3</f>
        <v>41</v>
      </c>
      <c r="H615" t="s">
        <v>42</v>
      </c>
      <c r="I615">
        <v>8</v>
      </c>
      <c r="J615" s="4">
        <v>99</v>
      </c>
      <c r="K615" s="4">
        <f>I615*J615</f>
        <v>792</v>
      </c>
      <c r="L615" s="3">
        <v>0</v>
      </c>
      <c r="M615" s="4">
        <f>K615*L615</f>
        <v>0</v>
      </c>
      <c r="N615" s="4">
        <v>20</v>
      </c>
      <c r="O615" s="4">
        <f>K615-M615+N615</f>
        <v>812</v>
      </c>
      <c r="P615" t="s">
        <v>43</v>
      </c>
      <c r="Q615" t="b">
        <v>0</v>
      </c>
      <c r="R615" t="s">
        <v>44</v>
      </c>
      <c r="S615" t="s">
        <v>68</v>
      </c>
      <c r="T615" t="s">
        <v>69</v>
      </c>
      <c r="U615" t="s">
        <v>39</v>
      </c>
      <c r="V615" t="s">
        <v>63</v>
      </c>
      <c r="W615" t="s">
        <v>1290</v>
      </c>
      <c r="X615" t="s">
        <v>0</v>
      </c>
      <c r="Y615">
        <v>9007199254741601</v>
      </c>
      <c r="Z615">
        <v>0</v>
      </c>
      <c r="AA615" t="s">
        <v>63</v>
      </c>
      <c r="AB615" t="b">
        <v>0</v>
      </c>
      <c r="AD615" s="3">
        <v>0.125</v>
      </c>
      <c r="AE615" s="2">
        <v>45922.5</v>
      </c>
      <c r="AF615" t="s">
        <v>60</v>
      </c>
    </row>
    <row r="616">
      <c r="A616" t="s">
        <v>1291</v>
      </c>
      <c r="B616" s="2">
        <v>45921.5</v>
      </c>
      <c r="C616" t="s">
        <v>37</v>
      </c>
      <c r="D616" t="s">
        <f>'客户档案'!B3</f>
        <v>38</v>
      </c>
      <c r="E616" t="s">
        <v>51</v>
      </c>
      <c r="F616" t="s">
        <v>52</v>
      </c>
      <c r="G616" t="s">
        <f>'商品目录'!B4</f>
        <v>53</v>
      </c>
      <c r="H616" t="s">
        <v>54</v>
      </c>
      <c r="I616">
        <v>10</v>
      </c>
      <c r="J616" s="4">
        <v>129</v>
      </c>
      <c r="K616" s="4">
        <f>I616*J616</f>
        <v>1290</v>
      </c>
      <c r="L616" s="3">
        <v>0.5</v>
      </c>
      <c r="M616" s="4">
        <f>K616*L616</f>
        <v>645</v>
      </c>
      <c r="N616" s="4">
        <v>0</v>
      </c>
      <c r="O616" s="4">
        <f>K616-M616+N616</f>
        <v>645</v>
      </c>
      <c r="P616" t="s">
        <v>43</v>
      </c>
      <c r="Q616" t="b">
        <v>1</v>
      </c>
      <c r="R616" t="s">
        <v>55</v>
      </c>
      <c r="S616" t="s">
        <v>45</v>
      </c>
      <c r="T616" t="s">
        <v>46</v>
      </c>
      <c r="U616" t="s">
        <v>51</v>
      </c>
      <c r="V616" t="s">
        <v>38</v>
      </c>
      <c r="W616" t="s">
        <v>1292</v>
      </c>
      <c r="X616" t="s">
        <v>59</v>
      </c>
      <c r="Y616">
        <v>9007199254741602</v>
      </c>
      <c r="Z616">
        <v>0</v>
      </c>
      <c r="AA616" t="s">
        <v>38</v>
      </c>
      <c r="AB616" t="b">
        <v>1</v>
      </c>
      <c r="AD616" s="3">
        <v>0.125</v>
      </c>
      <c r="AE616" s="2">
        <v>45923.5</v>
      </c>
      <c r="AF616" t="s">
        <v>60</v>
      </c>
    </row>
    <row r="617">
      <c r="A617" t="s">
        <v>1293</v>
      </c>
      <c r="B617" s="2">
        <v>45922.5</v>
      </c>
      <c r="C617" t="s">
        <v>49</v>
      </c>
      <c r="D617" t="s">
        <f>'客户档案'!B4</f>
        <v>50</v>
      </c>
      <c r="E617" t="s">
        <v>64</v>
      </c>
      <c r="F617" t="s">
        <v>65</v>
      </c>
      <c r="G617" t="s">
        <f>'商品目录'!B5</f>
        <v>66</v>
      </c>
      <c r="H617" t="s">
        <v>67</v>
      </c>
      <c r="I617">
        <v>2</v>
      </c>
      <c r="J617" s="4">
        <v>45</v>
      </c>
      <c r="K617" s="4">
        <f>I617*J617</f>
        <v>90</v>
      </c>
      <c r="L617" s="3">
        <v>0</v>
      </c>
      <c r="M617" s="4">
        <f>K617*L617</f>
        <v>0</v>
      </c>
      <c r="N617" s="4">
        <v>10</v>
      </c>
      <c r="O617" s="4">
        <f>K617-M617+N617</f>
        <v>100</v>
      </c>
      <c r="P617" t="s">
        <v>43</v>
      </c>
      <c r="Q617" t="b">
        <v>1</v>
      </c>
      <c r="R617" t="s">
        <v>55</v>
      </c>
      <c r="S617" t="s">
        <v>56</v>
      </c>
      <c r="T617" t="s">
        <v>57</v>
      </c>
      <c r="U617" t="s">
        <v>70</v>
      </c>
      <c r="V617" t="s">
        <v>50</v>
      </c>
      <c r="W617" t="s">
        <v>1294</v>
      </c>
      <c r="X617" t="s">
        <v>72</v>
      </c>
      <c r="Y617">
        <v>9007199254741603</v>
      </c>
      <c r="Z617">
        <v>0</v>
      </c>
      <c r="AA617" t="s">
        <v>50</v>
      </c>
      <c r="AB617" t="b">
        <v>0</v>
      </c>
      <c r="AD617" s="3">
        <v>0.125</v>
      </c>
      <c r="AE617" s="2">
        <v>45924.5</v>
      </c>
      <c r="AF617" t="s">
        <v>60</v>
      </c>
    </row>
    <row r="618">
      <c r="A618" t="s">
        <v>1295</v>
      </c>
      <c r="B618" s="2">
        <v>45923.5</v>
      </c>
      <c r="C618" t="s">
        <v>62</v>
      </c>
      <c r="D618" t="s">
        <f>'客户档案'!B5</f>
        <v>63</v>
      </c>
      <c r="E618" t="s">
        <v>74</v>
      </c>
      <c r="F618" t="s">
        <v>75</v>
      </c>
      <c r="G618" t="s">
        <f>'商品目录'!B6</f>
        <v>76</v>
      </c>
      <c r="H618" t="s">
        <v>77</v>
      </c>
      <c r="I618">
        <v>4</v>
      </c>
      <c r="J618" s="4">
        <v>8</v>
      </c>
      <c r="K618" s="4">
        <f>I618*J618</f>
        <v>32</v>
      </c>
      <c r="L618" s="3">
        <v>0.5</v>
      </c>
      <c r="M618" s="4">
        <f>K618*L618</f>
        <v>16</v>
      </c>
      <c r="N618" s="4">
        <v>20</v>
      </c>
      <c r="O618" s="4">
        <f>K618-M618+N618</f>
        <v>36</v>
      </c>
      <c r="P618" t="s">
        <v>43</v>
      </c>
      <c r="Q618" t="b">
        <v>1</v>
      </c>
      <c r="R618" t="s">
        <v>55</v>
      </c>
      <c r="S618" t="s">
        <v>68</v>
      </c>
      <c r="T618" t="s">
        <v>69</v>
      </c>
      <c r="U618" t="s">
        <v>78</v>
      </c>
      <c r="V618" t="s">
        <v>63</v>
      </c>
      <c r="W618" t="s">
        <v>1296</v>
      </c>
      <c r="X618" t="s">
        <v>80</v>
      </c>
      <c r="Y618">
        <v>9007199254741604</v>
      </c>
      <c r="Z618">
        <v>0</v>
      </c>
      <c r="AA618" t="s">
        <v>63</v>
      </c>
      <c r="AB618" t="b">
        <v>1</v>
      </c>
      <c r="AD618" s="3">
        <v>0.125</v>
      </c>
      <c r="AE618" s="2">
        <v>45925.5</v>
      </c>
      <c r="AF618" t="s">
        <v>60</v>
      </c>
    </row>
    <row r="619">
      <c r="A619" t="s">
        <v>1297</v>
      </c>
      <c r="B619" s="2">
        <v>45924.5</v>
      </c>
      <c r="C619" t="s">
        <v>37</v>
      </c>
      <c r="D619" t="s">
        <f>'客户档案'!B3</f>
        <v>38</v>
      </c>
      <c r="E619" t="s">
        <v>39</v>
      </c>
      <c r="F619" t="s">
        <v>40</v>
      </c>
      <c r="G619" t="s">
        <f>'商品目录'!B3</f>
        <v>41</v>
      </c>
      <c r="H619" t="s">
        <v>42</v>
      </c>
      <c r="I619">
        <v>6</v>
      </c>
      <c r="J619" s="4">
        <v>99</v>
      </c>
      <c r="K619" s="4">
        <f>I619*J619</f>
        <v>594</v>
      </c>
      <c r="L619" s="3">
        <v>0</v>
      </c>
      <c r="M619" s="4">
        <f>K619*L619</f>
        <v>0</v>
      </c>
      <c r="N619" s="4">
        <v>0</v>
      </c>
      <c r="O619" s="4">
        <f>K619-M619+N619</f>
        <v>594</v>
      </c>
      <c r="P619" t="s">
        <v>43</v>
      </c>
      <c r="Q619" t="b">
        <v>0</v>
      </c>
      <c r="R619" t="s">
        <v>44</v>
      </c>
      <c r="S619" t="s">
        <v>45</v>
      </c>
      <c r="T619" t="s">
        <v>46</v>
      </c>
      <c r="U619" t="s">
        <v>39</v>
      </c>
      <c r="V619" t="s">
        <v>38</v>
      </c>
      <c r="W619" t="s">
        <v>1298</v>
      </c>
      <c r="X619" t="s">
        <v>0</v>
      </c>
      <c r="Y619">
        <v>9007199254741605</v>
      </c>
      <c r="Z619">
        <v>2</v>
      </c>
      <c r="AA619" t="s">
        <v>38</v>
      </c>
      <c r="AB619" t="b">
        <v>0</v>
      </c>
      <c r="AD619" s="3">
        <v>0.125</v>
      </c>
      <c r="AE619" s="2">
        <v>45926.5</v>
      </c>
      <c r="AF619" t="s">
        <v>60</v>
      </c>
    </row>
    <row r="620">
      <c r="A620" t="s">
        <v>1299</v>
      </c>
      <c r="B620" s="2">
        <v>45925.5</v>
      </c>
      <c r="C620" t="s">
        <v>49</v>
      </c>
      <c r="D620" t="s">
        <f>'客户档案'!B4</f>
        <v>50</v>
      </c>
      <c r="E620" t="s">
        <v>51</v>
      </c>
      <c r="F620" t="s">
        <v>52</v>
      </c>
      <c r="G620" t="s">
        <f>'商品目录'!B4</f>
        <v>53</v>
      </c>
      <c r="H620" t="s">
        <v>54</v>
      </c>
      <c r="I620">
        <v>8</v>
      </c>
      <c r="J620" s="4">
        <v>129</v>
      </c>
      <c r="K620" s="4">
        <f>I620*J620</f>
        <v>1032</v>
      </c>
      <c r="L620" s="3">
        <v>0.5</v>
      </c>
      <c r="M620" s="4">
        <f>K620*L620</f>
        <v>516</v>
      </c>
      <c r="N620" s="4">
        <v>10</v>
      </c>
      <c r="O620" s="4">
        <f>K620-M620+N620</f>
        <v>526</v>
      </c>
      <c r="P620" t="s">
        <v>43</v>
      </c>
      <c r="Q620" t="b">
        <v>1</v>
      </c>
      <c r="R620" t="s">
        <v>55</v>
      </c>
      <c r="S620" t="s">
        <v>56</v>
      </c>
      <c r="T620" t="s">
        <v>57</v>
      </c>
      <c r="U620" t="s">
        <v>51</v>
      </c>
      <c r="V620" t="s">
        <v>50</v>
      </c>
      <c r="W620" t="s">
        <v>1300</v>
      </c>
      <c r="X620" t="s">
        <v>59</v>
      </c>
      <c r="Y620">
        <v>9007199254741606</v>
      </c>
      <c r="Z620">
        <v>0</v>
      </c>
      <c r="AA620" t="s">
        <v>50</v>
      </c>
      <c r="AB620" t="b">
        <v>1</v>
      </c>
      <c r="AD620" s="3">
        <v>0.125</v>
      </c>
      <c r="AE620" s="2">
        <v>45927.5</v>
      </c>
      <c r="AF620" t="s">
        <v>60</v>
      </c>
    </row>
    <row r="621">
      <c r="A621" t="s">
        <v>1301</v>
      </c>
      <c r="B621" s="2">
        <v>45926.5</v>
      </c>
      <c r="C621" t="s">
        <v>62</v>
      </c>
      <c r="D621" t="s">
        <f>'客户档案'!B5</f>
        <v>63</v>
      </c>
      <c r="E621" t="s">
        <v>64</v>
      </c>
      <c r="F621" t="s">
        <v>65</v>
      </c>
      <c r="G621" t="s">
        <f>'商品目录'!B5</f>
        <v>66</v>
      </c>
      <c r="H621" t="s">
        <v>67</v>
      </c>
      <c r="I621">
        <v>10</v>
      </c>
      <c r="J621" s="4">
        <v>45</v>
      </c>
      <c r="K621" s="4">
        <f>I621*J621</f>
        <v>450</v>
      </c>
      <c r="L621" s="3">
        <v>0</v>
      </c>
      <c r="M621" s="4">
        <f>K621*L621</f>
        <v>0</v>
      </c>
      <c r="N621" s="4">
        <v>20</v>
      </c>
      <c r="O621" s="4">
        <f>K621-M621+N621</f>
        <v>470</v>
      </c>
      <c r="P621" t="s">
        <v>43</v>
      </c>
      <c r="Q621" t="b">
        <v>1</v>
      </c>
      <c r="R621" t="s">
        <v>55</v>
      </c>
      <c r="S621" t="s">
        <v>68</v>
      </c>
      <c r="T621" t="s">
        <v>69</v>
      </c>
      <c r="U621" t="s">
        <v>70</v>
      </c>
      <c r="V621" t="s">
        <v>63</v>
      </c>
      <c r="W621" t="s">
        <v>1302</v>
      </c>
      <c r="X621" t="s">
        <v>72</v>
      </c>
      <c r="Y621">
        <v>9007199254741607</v>
      </c>
      <c r="Z621">
        <v>0</v>
      </c>
      <c r="AA621" t="s">
        <v>63</v>
      </c>
      <c r="AB621" t="b">
        <v>0</v>
      </c>
      <c r="AD621" s="3">
        <v>0.125</v>
      </c>
      <c r="AE621" s="2">
        <v>45928.5</v>
      </c>
      <c r="AF621" t="s">
        <v>60</v>
      </c>
    </row>
    <row r="622">
      <c r="A622" t="s">
        <v>1303</v>
      </c>
      <c r="B622" s="2">
        <v>45927.5</v>
      </c>
      <c r="C622" t="s">
        <v>37</v>
      </c>
      <c r="D622" t="s">
        <f>'客户档案'!B3</f>
        <v>38</v>
      </c>
      <c r="E622" t="s">
        <v>74</v>
      </c>
      <c r="F622" t="s">
        <v>75</v>
      </c>
      <c r="G622" t="s">
        <f>'商品目录'!B6</f>
        <v>76</v>
      </c>
      <c r="H622" t="s">
        <v>77</v>
      </c>
      <c r="I622">
        <v>2</v>
      </c>
      <c r="J622" s="4">
        <v>8</v>
      </c>
      <c r="K622" s="4">
        <f>I622*J622</f>
        <v>16</v>
      </c>
      <c r="L622" s="3">
        <v>0.5</v>
      </c>
      <c r="M622" s="4">
        <f>K622*L622</f>
        <v>8</v>
      </c>
      <c r="N622" s="4">
        <v>0</v>
      </c>
      <c r="O622" s="4">
        <f>K622-M622+N622</f>
        <v>8</v>
      </c>
      <c r="P622" t="s">
        <v>43</v>
      </c>
      <c r="Q622" t="b">
        <v>1</v>
      </c>
      <c r="R622" t="s">
        <v>55</v>
      </c>
      <c r="S622" t="s">
        <v>45</v>
      </c>
      <c r="T622" t="s">
        <v>46</v>
      </c>
      <c r="U622" t="s">
        <v>78</v>
      </c>
      <c r="V622" t="s">
        <v>38</v>
      </c>
      <c r="W622" t="s">
        <v>1304</v>
      </c>
      <c r="X622" t="s">
        <v>80</v>
      </c>
      <c r="Y622">
        <v>9007199254741608</v>
      </c>
      <c r="Z622">
        <v>0</v>
      </c>
      <c r="AA622" t="s">
        <v>38</v>
      </c>
      <c r="AB622" t="b">
        <v>1</v>
      </c>
      <c r="AD622" s="3">
        <v>0.125</v>
      </c>
      <c r="AE622" s="2">
        <v>45929.5</v>
      </c>
      <c r="AF622" t="s">
        <v>60</v>
      </c>
    </row>
    <row r="623">
      <c r="A623" t="s">
        <v>1305</v>
      </c>
      <c r="B623" s="2">
        <v>45900.5</v>
      </c>
      <c r="C623" t="s">
        <v>49</v>
      </c>
      <c r="D623" t="s">
        <f>'客户档案'!B4</f>
        <v>50</v>
      </c>
      <c r="E623" t="s">
        <v>39</v>
      </c>
      <c r="F623" t="s">
        <v>40</v>
      </c>
      <c r="G623" t="s">
        <f>'商品目录'!B3</f>
        <v>41</v>
      </c>
      <c r="H623" t="s">
        <v>42</v>
      </c>
      <c r="I623">
        <v>4</v>
      </c>
      <c r="J623" s="4">
        <v>99</v>
      </c>
      <c r="K623" s="4">
        <f>I623*J623</f>
        <v>396</v>
      </c>
      <c r="L623" s="3">
        <v>0</v>
      </c>
      <c r="M623" s="4">
        <f>K623*L623</f>
        <v>0</v>
      </c>
      <c r="N623" s="4">
        <v>10</v>
      </c>
      <c r="O623" s="4">
        <f>K623-M623+N623</f>
        <v>406</v>
      </c>
      <c r="P623" t="s">
        <v>43</v>
      </c>
      <c r="Q623" t="b">
        <v>0</v>
      </c>
      <c r="R623" t="s">
        <v>44</v>
      </c>
      <c r="S623" t="s">
        <v>56</v>
      </c>
      <c r="T623" t="s">
        <v>57</v>
      </c>
      <c r="U623" t="s">
        <v>39</v>
      </c>
      <c r="V623" t="s">
        <v>50</v>
      </c>
      <c r="W623" t="s">
        <v>1306</v>
      </c>
      <c r="X623" t="s">
        <v>0</v>
      </c>
      <c r="Y623">
        <v>9007199254741609</v>
      </c>
      <c r="Z623">
        <v>0</v>
      </c>
      <c r="AA623" t="s">
        <v>50</v>
      </c>
      <c r="AB623" t="b">
        <v>0</v>
      </c>
      <c r="AD623" s="3">
        <v>0.125</v>
      </c>
      <c r="AE623" s="2">
        <v>45902.5</v>
      </c>
      <c r="AF623" t="s">
        <v>60</v>
      </c>
    </row>
    <row r="624">
      <c r="A624" t="s">
        <v>1307</v>
      </c>
      <c r="B624" s="2">
        <v>45901.5</v>
      </c>
      <c r="C624" t="s">
        <v>62</v>
      </c>
      <c r="D624" t="s">
        <f>'客户档案'!B5</f>
        <v>63</v>
      </c>
      <c r="E624" t="s">
        <v>51</v>
      </c>
      <c r="F624" t="s">
        <v>52</v>
      </c>
      <c r="G624" t="s">
        <f>'商品目录'!B4</f>
        <v>53</v>
      </c>
      <c r="H624" t="s">
        <v>54</v>
      </c>
      <c r="I624">
        <v>6</v>
      </c>
      <c r="J624" s="4">
        <v>129</v>
      </c>
      <c r="K624" s="4">
        <f>I624*J624</f>
        <v>774</v>
      </c>
      <c r="L624" s="3">
        <v>0.5</v>
      </c>
      <c r="M624" s="4">
        <f>K624*L624</f>
        <v>387</v>
      </c>
      <c r="N624" s="4">
        <v>20</v>
      </c>
      <c r="O624" s="4">
        <f>K624-M624+N624</f>
        <v>407</v>
      </c>
      <c r="P624" t="s">
        <v>43</v>
      </c>
      <c r="Q624" t="b">
        <v>1</v>
      </c>
      <c r="R624" t="s">
        <v>55</v>
      </c>
      <c r="S624" t="s">
        <v>68</v>
      </c>
      <c r="T624" t="s">
        <v>69</v>
      </c>
      <c r="U624" t="s">
        <v>51</v>
      </c>
      <c r="V624" t="s">
        <v>63</v>
      </c>
      <c r="W624" t="s">
        <v>1308</v>
      </c>
      <c r="X624" t="s">
        <v>59</v>
      </c>
      <c r="Y624">
        <v>9007199254741610</v>
      </c>
      <c r="Z624">
        <v>0</v>
      </c>
      <c r="AA624" t="s">
        <v>63</v>
      </c>
      <c r="AB624" t="b">
        <v>1</v>
      </c>
      <c r="AD624" s="3">
        <v>0.125</v>
      </c>
      <c r="AE624" s="2">
        <v>45903.5</v>
      </c>
      <c r="AF624" t="s">
        <v>60</v>
      </c>
    </row>
    <row r="625">
      <c r="A625" t="s">
        <v>1309</v>
      </c>
      <c r="B625" s="2">
        <v>45902.5</v>
      </c>
      <c r="C625" t="s">
        <v>37</v>
      </c>
      <c r="D625" t="s">
        <f>'客户档案'!B3</f>
        <v>38</v>
      </c>
      <c r="E625" t="s">
        <v>64</v>
      </c>
      <c r="F625" t="s">
        <v>65</v>
      </c>
      <c r="G625" t="s">
        <f>'商品目录'!B5</f>
        <v>66</v>
      </c>
      <c r="H625" t="s">
        <v>67</v>
      </c>
      <c r="I625">
        <v>8</v>
      </c>
      <c r="J625" s="4">
        <v>45</v>
      </c>
      <c r="K625" s="4">
        <f>I625*J625</f>
        <v>360</v>
      </c>
      <c r="L625" s="3">
        <v>0</v>
      </c>
      <c r="M625" s="4">
        <f>K625*L625</f>
        <v>0</v>
      </c>
      <c r="N625" s="4">
        <v>0</v>
      </c>
      <c r="O625" s="4">
        <f>K625-M625+N625</f>
        <v>360</v>
      </c>
      <c r="P625" t="s">
        <v>43</v>
      </c>
      <c r="Q625" t="b">
        <v>1</v>
      </c>
      <c r="R625" t="s">
        <v>55</v>
      </c>
      <c r="S625" t="s">
        <v>45</v>
      </c>
      <c r="T625" t="s">
        <v>46</v>
      </c>
      <c r="U625" t="s">
        <v>70</v>
      </c>
      <c r="V625" t="s">
        <v>38</v>
      </c>
      <c r="W625" t="s">
        <v>1310</v>
      </c>
      <c r="X625" t="s">
        <v>72</v>
      </c>
      <c r="Y625">
        <v>9007199254741611</v>
      </c>
      <c r="Z625">
        <v>0</v>
      </c>
      <c r="AA625" t="s">
        <v>38</v>
      </c>
      <c r="AB625" t="b">
        <v>0</v>
      </c>
      <c r="AD625" s="3">
        <v>0.125</v>
      </c>
      <c r="AE625" s="2">
        <v>45904.5</v>
      </c>
      <c r="AF625" t="s">
        <v>60</v>
      </c>
    </row>
    <row r="626">
      <c r="A626" t="s">
        <v>1311</v>
      </c>
      <c r="B626" s="2">
        <v>45903.5</v>
      </c>
      <c r="C626" t="s">
        <v>49</v>
      </c>
      <c r="D626" t="s">
        <f>'客户档案'!B4</f>
        <v>50</v>
      </c>
      <c r="E626" t="s">
        <v>74</v>
      </c>
      <c r="F626" t="s">
        <v>75</v>
      </c>
      <c r="G626" t="s">
        <f>'商品目录'!B6</f>
        <v>76</v>
      </c>
      <c r="H626" t="s">
        <v>77</v>
      </c>
      <c r="I626">
        <v>10</v>
      </c>
      <c r="J626" s="4">
        <v>8</v>
      </c>
      <c r="K626" s="4">
        <f>I626*J626</f>
        <v>80</v>
      </c>
      <c r="L626" s="3">
        <v>0.5</v>
      </c>
      <c r="M626" s="4">
        <f>K626*L626</f>
        <v>40</v>
      </c>
      <c r="N626" s="4">
        <v>10</v>
      </c>
      <c r="O626" s="4">
        <f>K626-M626+N626</f>
        <v>50</v>
      </c>
      <c r="P626" t="s">
        <v>43</v>
      </c>
      <c r="Q626" t="b">
        <v>1</v>
      </c>
      <c r="R626" t="s">
        <v>55</v>
      </c>
      <c r="S626" t="s">
        <v>56</v>
      </c>
      <c r="T626" t="s">
        <v>57</v>
      </c>
      <c r="U626" t="s">
        <v>78</v>
      </c>
      <c r="V626" t="s">
        <v>50</v>
      </c>
      <c r="W626" t="s">
        <v>1312</v>
      </c>
      <c r="X626" t="s">
        <v>80</v>
      </c>
      <c r="Y626">
        <v>9007199254741612</v>
      </c>
      <c r="Z626">
        <v>0</v>
      </c>
      <c r="AA626" t="s">
        <v>50</v>
      </c>
      <c r="AB626" t="b">
        <v>1</v>
      </c>
      <c r="AD626" s="3">
        <v>0.125</v>
      </c>
      <c r="AE626" s="2">
        <v>45905.5</v>
      </c>
      <c r="AF626" t="s">
        <v>60</v>
      </c>
    </row>
    <row r="627">
      <c r="A627" t="s">
        <v>1313</v>
      </c>
      <c r="B627" s="2">
        <v>45904.5</v>
      </c>
      <c r="C627" t="s">
        <v>62</v>
      </c>
      <c r="D627" t="s">
        <f>'客户档案'!B5</f>
        <v>63</v>
      </c>
      <c r="E627" t="s">
        <v>39</v>
      </c>
      <c r="F627" t="s">
        <v>40</v>
      </c>
      <c r="G627" t="s">
        <f>'商品目录'!B3</f>
        <v>41</v>
      </c>
      <c r="H627" t="s">
        <v>42</v>
      </c>
      <c r="I627">
        <v>2</v>
      </c>
      <c r="J627" s="4">
        <v>99</v>
      </c>
      <c r="K627" s="4">
        <f>I627*J627</f>
        <v>198</v>
      </c>
      <c r="L627" s="3">
        <v>0</v>
      </c>
      <c r="M627" s="4">
        <f>K627*L627</f>
        <v>0</v>
      </c>
      <c r="N627" s="4">
        <v>20</v>
      </c>
      <c r="O627" s="4">
        <f>K627-M627+N627</f>
        <v>218</v>
      </c>
      <c r="P627" t="s">
        <v>43</v>
      </c>
      <c r="Q627" t="b">
        <v>0</v>
      </c>
      <c r="R627" t="s">
        <v>44</v>
      </c>
      <c r="S627" t="s">
        <v>68</v>
      </c>
      <c r="T627" t="s">
        <v>69</v>
      </c>
      <c r="U627" t="s">
        <v>39</v>
      </c>
      <c r="V627" t="s">
        <v>63</v>
      </c>
      <c r="W627" t="s">
        <v>1314</v>
      </c>
      <c r="X627" t="s">
        <v>0</v>
      </c>
      <c r="Y627">
        <v>9007199254741613</v>
      </c>
      <c r="Z627">
        <v>0</v>
      </c>
      <c r="AA627" t="s">
        <v>63</v>
      </c>
      <c r="AB627" t="b">
        <v>0</v>
      </c>
      <c r="AD627" s="3">
        <v>0.125</v>
      </c>
      <c r="AE627" s="2">
        <v>45906.5</v>
      </c>
      <c r="AF627" t="s">
        <v>60</v>
      </c>
    </row>
    <row r="628">
      <c r="A628" t="s">
        <v>1315</v>
      </c>
      <c r="B628" s="2">
        <v>45905.5</v>
      </c>
      <c r="C628" t="s">
        <v>37</v>
      </c>
      <c r="D628" t="s">
        <f>'客户档案'!B3</f>
        <v>38</v>
      </c>
      <c r="E628" t="s">
        <v>51</v>
      </c>
      <c r="F628" t="s">
        <v>52</v>
      </c>
      <c r="G628" t="s">
        <f>'商品目录'!B4</f>
        <v>53</v>
      </c>
      <c r="H628" t="s">
        <v>54</v>
      </c>
      <c r="I628">
        <v>4</v>
      </c>
      <c r="J628" s="4">
        <v>129</v>
      </c>
      <c r="K628" s="4">
        <f>I628*J628</f>
        <v>516</v>
      </c>
      <c r="L628" s="3">
        <v>0.5</v>
      </c>
      <c r="M628" s="4">
        <f>K628*L628</f>
        <v>258</v>
      </c>
      <c r="N628" s="4">
        <v>0</v>
      </c>
      <c r="O628" s="4">
        <f>K628-M628+N628</f>
        <v>258</v>
      </c>
      <c r="P628" t="s">
        <v>43</v>
      </c>
      <c r="Q628" t="b">
        <v>1</v>
      </c>
      <c r="R628" t="s">
        <v>55</v>
      </c>
      <c r="S628" t="s">
        <v>45</v>
      </c>
      <c r="T628" t="s">
        <v>46</v>
      </c>
      <c r="U628" t="s">
        <v>51</v>
      </c>
      <c r="V628" t="s">
        <v>38</v>
      </c>
      <c r="W628" t="s">
        <v>1316</v>
      </c>
      <c r="X628" t="s">
        <v>59</v>
      </c>
      <c r="Y628">
        <v>9007199254741614</v>
      </c>
      <c r="Z628">
        <v>0</v>
      </c>
      <c r="AA628" t="s">
        <v>38</v>
      </c>
      <c r="AB628" t="b">
        <v>1</v>
      </c>
      <c r="AD628" s="3">
        <v>0.125</v>
      </c>
      <c r="AE628" s="2">
        <v>45907.5</v>
      </c>
      <c r="AF628" t="s">
        <v>60</v>
      </c>
    </row>
    <row r="629">
      <c r="A629" t="s">
        <v>1317</v>
      </c>
      <c r="B629" s="2">
        <v>45906.5</v>
      </c>
      <c r="C629" t="s">
        <v>49</v>
      </c>
      <c r="D629" t="s">
        <f>'客户档案'!B4</f>
        <v>50</v>
      </c>
      <c r="E629" t="s">
        <v>64</v>
      </c>
      <c r="F629" t="s">
        <v>65</v>
      </c>
      <c r="G629" t="s">
        <f>'商品目录'!B5</f>
        <v>66</v>
      </c>
      <c r="H629" t="s">
        <v>67</v>
      </c>
      <c r="I629">
        <v>6</v>
      </c>
      <c r="J629" s="4">
        <v>45</v>
      </c>
      <c r="K629" s="4">
        <f>I629*J629</f>
        <v>270</v>
      </c>
      <c r="L629" s="3">
        <v>0</v>
      </c>
      <c r="M629" s="4">
        <f>K629*L629</f>
        <v>0</v>
      </c>
      <c r="N629" s="4">
        <v>10</v>
      </c>
      <c r="O629" s="4">
        <f>K629-M629+N629</f>
        <v>280</v>
      </c>
      <c r="P629" t="s">
        <v>43</v>
      </c>
      <c r="Q629" t="b">
        <v>1</v>
      </c>
      <c r="R629" t="s">
        <v>55</v>
      </c>
      <c r="S629" t="s">
        <v>56</v>
      </c>
      <c r="T629" t="s">
        <v>57</v>
      </c>
      <c r="U629" t="s">
        <v>70</v>
      </c>
      <c r="V629" t="s">
        <v>50</v>
      </c>
      <c r="W629" t="s">
        <v>1318</v>
      </c>
      <c r="X629" t="s">
        <v>72</v>
      </c>
      <c r="Y629">
        <v>9007199254741615</v>
      </c>
      <c r="Z629">
        <v>0</v>
      </c>
      <c r="AA629" t="s">
        <v>50</v>
      </c>
      <c r="AB629" t="b">
        <v>0</v>
      </c>
      <c r="AD629" s="3">
        <v>0.125</v>
      </c>
      <c r="AE629" s="2">
        <v>45908.5</v>
      </c>
      <c r="AF629" t="s">
        <v>60</v>
      </c>
    </row>
    <row r="630">
      <c r="A630" t="s">
        <v>1319</v>
      </c>
      <c r="B630" s="2">
        <v>45907.5</v>
      </c>
      <c r="C630" t="s">
        <v>62</v>
      </c>
      <c r="D630" t="s">
        <f>'客户档案'!B5</f>
        <v>63</v>
      </c>
      <c r="E630" t="s">
        <v>74</v>
      </c>
      <c r="F630" t="s">
        <v>75</v>
      </c>
      <c r="G630" t="s">
        <f>'商品目录'!B6</f>
        <v>76</v>
      </c>
      <c r="H630" t="s">
        <v>77</v>
      </c>
      <c r="I630">
        <v>8</v>
      </c>
      <c r="J630" s="4">
        <v>8</v>
      </c>
      <c r="K630" s="4">
        <f>I630*J630</f>
        <v>64</v>
      </c>
      <c r="L630" s="3">
        <v>0.5</v>
      </c>
      <c r="M630" s="4">
        <f>K630*L630</f>
        <v>32</v>
      </c>
      <c r="N630" s="4">
        <v>20</v>
      </c>
      <c r="O630" s="4">
        <f>K630-M630+N630</f>
        <v>52</v>
      </c>
      <c r="P630" t="s">
        <v>43</v>
      </c>
      <c r="Q630" t="b">
        <v>1</v>
      </c>
      <c r="R630" t="s">
        <v>55</v>
      </c>
      <c r="S630" t="s">
        <v>68</v>
      </c>
      <c r="T630" t="s">
        <v>69</v>
      </c>
      <c r="U630" t="s">
        <v>78</v>
      </c>
      <c r="V630" t="s">
        <v>63</v>
      </c>
      <c r="W630" t="s">
        <v>1320</v>
      </c>
      <c r="X630" t="s">
        <v>80</v>
      </c>
      <c r="Y630">
        <v>9007199254741616</v>
      </c>
      <c r="Z630">
        <v>0</v>
      </c>
      <c r="AA630" t="s">
        <v>63</v>
      </c>
      <c r="AB630" t="b">
        <v>1</v>
      </c>
      <c r="AD630" s="3">
        <v>0.125</v>
      </c>
      <c r="AE630" s="2">
        <v>45909.5</v>
      </c>
      <c r="AF630" t="s">
        <v>60</v>
      </c>
    </row>
    <row r="631">
      <c r="A631" t="s">
        <v>1321</v>
      </c>
      <c r="B631" s="2">
        <v>45908.5</v>
      </c>
      <c r="C631" t="s">
        <v>37</v>
      </c>
      <c r="D631" t="s">
        <f>'客户档案'!B3</f>
        <v>38</v>
      </c>
      <c r="E631" t="s">
        <v>39</v>
      </c>
      <c r="F631" t="s">
        <v>40</v>
      </c>
      <c r="G631" t="s">
        <f>'商品目录'!B3</f>
        <v>41</v>
      </c>
      <c r="H631" t="s">
        <v>42</v>
      </c>
      <c r="I631">
        <v>10</v>
      </c>
      <c r="J631" s="4">
        <v>99</v>
      </c>
      <c r="K631" s="4">
        <f>I631*J631</f>
        <v>990</v>
      </c>
      <c r="L631" s="3">
        <v>0</v>
      </c>
      <c r="M631" s="4">
        <f>K631*L631</f>
        <v>0</v>
      </c>
      <c r="N631" s="4">
        <v>0</v>
      </c>
      <c r="O631" s="4">
        <f>K631-M631+N631</f>
        <v>990</v>
      </c>
      <c r="P631" t="s">
        <v>43</v>
      </c>
      <c r="Q631" t="b">
        <v>0</v>
      </c>
      <c r="R631" t="s">
        <v>44</v>
      </c>
      <c r="S631" t="s">
        <v>45</v>
      </c>
      <c r="T631" t="s">
        <v>46</v>
      </c>
      <c r="U631" t="s">
        <v>39</v>
      </c>
      <c r="V631" t="s">
        <v>38</v>
      </c>
      <c r="W631" t="s">
        <v>1322</v>
      </c>
      <c r="X631" t="s">
        <v>0</v>
      </c>
      <c r="Y631">
        <v>9007199254741617</v>
      </c>
      <c r="Z631">
        <v>0</v>
      </c>
      <c r="AA631" t="s">
        <v>38</v>
      </c>
      <c r="AB631" t="b">
        <v>0</v>
      </c>
      <c r="AD631" s="3">
        <v>0.125</v>
      </c>
      <c r="AE631" s="2">
        <v>45910.5</v>
      </c>
      <c r="AF631" t="s">
        <v>60</v>
      </c>
    </row>
    <row r="632">
      <c r="A632" t="s">
        <v>1323</v>
      </c>
      <c r="B632" s="2">
        <v>45909.5</v>
      </c>
      <c r="C632" t="s">
        <v>49</v>
      </c>
      <c r="D632" t="s">
        <f>'客户档案'!B4</f>
        <v>50</v>
      </c>
      <c r="E632" t="s">
        <v>51</v>
      </c>
      <c r="F632" t="s">
        <v>52</v>
      </c>
      <c r="G632" t="s">
        <f>'商品目录'!B4</f>
        <v>53</v>
      </c>
      <c r="H632" t="s">
        <v>54</v>
      </c>
      <c r="I632">
        <v>2</v>
      </c>
      <c r="J632" s="4">
        <v>129</v>
      </c>
      <c r="K632" s="4">
        <f>I632*J632</f>
        <v>258</v>
      </c>
      <c r="L632" s="3">
        <v>0.5</v>
      </c>
      <c r="M632" s="4">
        <f>K632*L632</f>
        <v>129</v>
      </c>
      <c r="N632" s="4">
        <v>10</v>
      </c>
      <c r="O632" s="4">
        <f>K632-M632+N632</f>
        <v>139</v>
      </c>
      <c r="P632" t="s">
        <v>43</v>
      </c>
      <c r="Q632" t="b">
        <v>1</v>
      </c>
      <c r="R632" t="s">
        <v>55</v>
      </c>
      <c r="S632" t="s">
        <v>56</v>
      </c>
      <c r="T632" t="s">
        <v>57</v>
      </c>
      <c r="U632" t="s">
        <v>51</v>
      </c>
      <c r="V632" t="s">
        <v>50</v>
      </c>
      <c r="W632" t="s">
        <v>1324</v>
      </c>
      <c r="X632" t="s">
        <v>59</v>
      </c>
      <c r="Y632">
        <v>9007199254741618</v>
      </c>
      <c r="Z632">
        <v>0</v>
      </c>
      <c r="AA632" t="s">
        <v>50</v>
      </c>
      <c r="AB632" t="b">
        <v>1</v>
      </c>
      <c r="AD632" s="3">
        <v>0.125</v>
      </c>
      <c r="AE632" s="2">
        <v>45911.5</v>
      </c>
      <c r="AF632" t="s">
        <v>60</v>
      </c>
    </row>
    <row r="633">
      <c r="A633" t="s">
        <v>1325</v>
      </c>
      <c r="B633" s="2">
        <v>45910.5</v>
      </c>
      <c r="C633" t="s">
        <v>62</v>
      </c>
      <c r="D633" t="s">
        <f>'客户档案'!B5</f>
        <v>63</v>
      </c>
      <c r="E633" t="s">
        <v>64</v>
      </c>
      <c r="F633" t="s">
        <v>65</v>
      </c>
      <c r="G633" t="s">
        <f>'商品目录'!B5</f>
        <v>66</v>
      </c>
      <c r="H633" t="s">
        <v>67</v>
      </c>
      <c r="I633">
        <v>4</v>
      </c>
      <c r="J633" s="4">
        <v>45</v>
      </c>
      <c r="K633" s="4">
        <f>I633*J633</f>
        <v>180</v>
      </c>
      <c r="L633" s="3">
        <v>0</v>
      </c>
      <c r="M633" s="4">
        <f>K633*L633</f>
        <v>0</v>
      </c>
      <c r="N633" s="4">
        <v>20</v>
      </c>
      <c r="O633" s="4">
        <f>K633-M633+N633</f>
        <v>200</v>
      </c>
      <c r="P633" t="s">
        <v>43</v>
      </c>
      <c r="Q633" t="b">
        <v>1</v>
      </c>
      <c r="R633" t="s">
        <v>55</v>
      </c>
      <c r="S633" t="s">
        <v>68</v>
      </c>
      <c r="T633" t="s">
        <v>69</v>
      </c>
      <c r="U633" t="s">
        <v>70</v>
      </c>
      <c r="V633" t="s">
        <v>63</v>
      </c>
      <c r="W633" t="s">
        <v>1326</v>
      </c>
      <c r="X633" t="s">
        <v>72</v>
      </c>
      <c r="Y633">
        <v>9007199254741619</v>
      </c>
      <c r="Z633">
        <v>0</v>
      </c>
      <c r="AA633" t="s">
        <v>63</v>
      </c>
      <c r="AB633" t="b">
        <v>0</v>
      </c>
      <c r="AD633" s="3">
        <v>0.125</v>
      </c>
      <c r="AE633" s="2">
        <v>45912.5</v>
      </c>
      <c r="AF633" t="s">
        <v>60</v>
      </c>
    </row>
    <row r="634">
      <c r="A634" t="s">
        <v>1327</v>
      </c>
      <c r="B634" s="2">
        <v>45911.5</v>
      </c>
      <c r="C634" t="s">
        <v>37</v>
      </c>
      <c r="D634" t="s">
        <f>'客户档案'!B3</f>
        <v>38</v>
      </c>
      <c r="E634" t="s">
        <v>74</v>
      </c>
      <c r="F634" t="s">
        <v>75</v>
      </c>
      <c r="G634" t="s">
        <f>'商品目录'!B6</f>
        <v>76</v>
      </c>
      <c r="H634" t="s">
        <v>77</v>
      </c>
      <c r="I634">
        <v>6</v>
      </c>
      <c r="J634" s="4">
        <v>8</v>
      </c>
      <c r="K634" s="4">
        <f>I634*J634</f>
        <v>48</v>
      </c>
      <c r="L634" s="3">
        <v>0.5</v>
      </c>
      <c r="M634" s="4">
        <f>K634*L634</f>
        <v>24</v>
      </c>
      <c r="N634" s="4">
        <v>0</v>
      </c>
      <c r="O634" s="4">
        <f>K634-M634+N634</f>
        <v>24</v>
      </c>
      <c r="P634" t="s">
        <v>43</v>
      </c>
      <c r="Q634" t="b">
        <v>1</v>
      </c>
      <c r="R634" t="s">
        <v>55</v>
      </c>
      <c r="S634" t="s">
        <v>45</v>
      </c>
      <c r="T634" t="s">
        <v>46</v>
      </c>
      <c r="U634" t="s">
        <v>78</v>
      </c>
      <c r="V634" t="s">
        <v>38</v>
      </c>
      <c r="W634" t="s">
        <v>1328</v>
      </c>
      <c r="X634" t="s">
        <v>80</v>
      </c>
      <c r="Y634">
        <v>9007199254741620</v>
      </c>
      <c r="Z634">
        <v>0</v>
      </c>
      <c r="AA634" t="s">
        <v>38</v>
      </c>
      <c r="AB634" t="b">
        <v>1</v>
      </c>
      <c r="AD634" s="3">
        <v>0.125</v>
      </c>
      <c r="AE634" s="2">
        <v>45913.5</v>
      </c>
      <c r="AF634" t="s">
        <v>60</v>
      </c>
    </row>
    <row r="635">
      <c r="A635" t="s">
        <v>1329</v>
      </c>
      <c r="B635" s="2">
        <v>45912.5</v>
      </c>
      <c r="C635" t="s">
        <v>49</v>
      </c>
      <c r="D635" t="s">
        <f>'客户档案'!B4</f>
        <v>50</v>
      </c>
      <c r="E635" t="s">
        <v>39</v>
      </c>
      <c r="F635" t="s">
        <v>40</v>
      </c>
      <c r="G635" t="s">
        <f>'商品目录'!B3</f>
        <v>41</v>
      </c>
      <c r="H635" t="s">
        <v>42</v>
      </c>
      <c r="I635">
        <v>8</v>
      </c>
      <c r="J635" s="4">
        <v>99</v>
      </c>
      <c r="K635" s="4">
        <f>I635*J635</f>
        <v>792</v>
      </c>
      <c r="L635" s="3">
        <v>0</v>
      </c>
      <c r="M635" s="4">
        <f>K635*L635</f>
        <v>0</v>
      </c>
      <c r="N635" s="4">
        <v>10</v>
      </c>
      <c r="O635" s="4">
        <f>K635-M635+N635</f>
        <v>802</v>
      </c>
      <c r="P635" t="s">
        <v>43</v>
      </c>
      <c r="Q635" t="b">
        <v>0</v>
      </c>
      <c r="R635" t="s">
        <v>44</v>
      </c>
      <c r="S635" t="s">
        <v>56</v>
      </c>
      <c r="T635" t="s">
        <v>57</v>
      </c>
      <c r="U635" t="s">
        <v>39</v>
      </c>
      <c r="V635" t="s">
        <v>50</v>
      </c>
      <c r="W635" t="s">
        <v>1330</v>
      </c>
      <c r="X635" t="s">
        <v>0</v>
      </c>
      <c r="Y635">
        <v>9007199254741621</v>
      </c>
      <c r="Z635">
        <v>0</v>
      </c>
      <c r="AA635" t="s">
        <v>50</v>
      </c>
      <c r="AB635" t="b">
        <v>0</v>
      </c>
      <c r="AD635" s="3">
        <v>0.125</v>
      </c>
      <c r="AE635" s="2">
        <v>45914.5</v>
      </c>
      <c r="AF635" t="s">
        <v>60</v>
      </c>
    </row>
    <row r="636">
      <c r="A636" t="s">
        <v>1331</v>
      </c>
      <c r="B636" s="2">
        <v>45913.5</v>
      </c>
      <c r="C636" t="s">
        <v>62</v>
      </c>
      <c r="D636" t="s">
        <f>'客户档案'!B5</f>
        <v>63</v>
      </c>
      <c r="E636" t="s">
        <v>51</v>
      </c>
      <c r="F636" t="s">
        <v>52</v>
      </c>
      <c r="G636" t="s">
        <f>'商品目录'!B4</f>
        <v>53</v>
      </c>
      <c r="H636" t="s">
        <v>54</v>
      </c>
      <c r="I636">
        <v>10</v>
      </c>
      <c r="J636" s="4">
        <v>129</v>
      </c>
      <c r="K636" s="4">
        <f>I636*J636</f>
        <v>1290</v>
      </c>
      <c r="L636" s="3">
        <v>0.5</v>
      </c>
      <c r="M636" s="4">
        <f>K636*L636</f>
        <v>645</v>
      </c>
      <c r="N636" s="4">
        <v>20</v>
      </c>
      <c r="O636" s="4">
        <f>K636-M636+N636</f>
        <v>665</v>
      </c>
      <c r="P636" t="s">
        <v>43</v>
      </c>
      <c r="Q636" t="b">
        <v>1</v>
      </c>
      <c r="R636" t="s">
        <v>55</v>
      </c>
      <c r="S636" t="s">
        <v>68</v>
      </c>
      <c r="T636" t="s">
        <v>69</v>
      </c>
      <c r="U636" t="s">
        <v>51</v>
      </c>
      <c r="V636" t="s">
        <v>63</v>
      </c>
      <c r="W636" t="s">
        <v>1332</v>
      </c>
      <c r="X636" t="s">
        <v>59</v>
      </c>
      <c r="Y636">
        <v>9007199254741622</v>
      </c>
      <c r="Z636">
        <v>2</v>
      </c>
      <c r="AA636" t="s">
        <v>63</v>
      </c>
      <c r="AB636" t="b">
        <v>1</v>
      </c>
      <c r="AD636" s="3">
        <v>0.125</v>
      </c>
      <c r="AE636" s="2">
        <v>45915.5</v>
      </c>
      <c r="AF636" t="s">
        <v>60</v>
      </c>
    </row>
    <row r="637">
      <c r="A637" t="s">
        <v>1333</v>
      </c>
      <c r="B637" s="2">
        <v>45914.5</v>
      </c>
      <c r="C637" t="s">
        <v>37</v>
      </c>
      <c r="D637" t="s">
        <f>'客户档案'!B3</f>
        <v>38</v>
      </c>
      <c r="E637" t="s">
        <v>64</v>
      </c>
      <c r="F637" t="s">
        <v>65</v>
      </c>
      <c r="G637" t="s">
        <f>'商品目录'!B5</f>
        <v>66</v>
      </c>
      <c r="H637" t="s">
        <v>67</v>
      </c>
      <c r="I637">
        <v>2</v>
      </c>
      <c r="J637" s="4">
        <v>45</v>
      </c>
      <c r="K637" s="4">
        <f>I637*J637</f>
        <v>90</v>
      </c>
      <c r="L637" s="3">
        <v>0</v>
      </c>
      <c r="M637" s="4">
        <f>K637*L637</f>
        <v>0</v>
      </c>
      <c r="N637" s="4">
        <v>0</v>
      </c>
      <c r="O637" s="4">
        <f>K637-M637+N637</f>
        <v>90</v>
      </c>
      <c r="P637" t="s">
        <v>43</v>
      </c>
      <c r="Q637" t="b">
        <v>1</v>
      </c>
      <c r="R637" t="s">
        <v>55</v>
      </c>
      <c r="S637" t="s">
        <v>45</v>
      </c>
      <c r="T637" t="s">
        <v>46</v>
      </c>
      <c r="U637" t="s">
        <v>70</v>
      </c>
      <c r="V637" t="s">
        <v>38</v>
      </c>
      <c r="W637" t="s">
        <v>1334</v>
      </c>
      <c r="X637" t="s">
        <v>72</v>
      </c>
      <c r="Y637">
        <v>9007199254741623</v>
      </c>
      <c r="Z637">
        <v>0</v>
      </c>
      <c r="AA637" t="s">
        <v>38</v>
      </c>
      <c r="AB637" t="b">
        <v>0</v>
      </c>
      <c r="AD637" s="3">
        <v>0.125</v>
      </c>
      <c r="AE637" s="2">
        <v>45916.5</v>
      </c>
      <c r="AF637" t="s">
        <v>60</v>
      </c>
    </row>
    <row r="638">
      <c r="A638" t="s">
        <v>1335</v>
      </c>
      <c r="B638" s="2">
        <v>45915.5</v>
      </c>
      <c r="C638" t="s">
        <v>49</v>
      </c>
      <c r="D638" t="s">
        <f>'客户档案'!B4</f>
        <v>50</v>
      </c>
      <c r="E638" t="s">
        <v>74</v>
      </c>
      <c r="F638" t="s">
        <v>75</v>
      </c>
      <c r="G638" t="s">
        <f>'商品目录'!B6</f>
        <v>76</v>
      </c>
      <c r="H638" t="s">
        <v>77</v>
      </c>
      <c r="I638">
        <v>4</v>
      </c>
      <c r="J638" s="4">
        <v>8</v>
      </c>
      <c r="K638" s="4">
        <f>I638*J638</f>
        <v>32</v>
      </c>
      <c r="L638" s="3">
        <v>0.5</v>
      </c>
      <c r="M638" s="4">
        <f>K638*L638</f>
        <v>16</v>
      </c>
      <c r="N638" s="4">
        <v>10</v>
      </c>
      <c r="O638" s="4">
        <f>K638-M638+N638</f>
        <v>26</v>
      </c>
      <c r="P638" t="s">
        <v>43</v>
      </c>
      <c r="Q638" t="b">
        <v>1</v>
      </c>
      <c r="R638" t="s">
        <v>55</v>
      </c>
      <c r="S638" t="s">
        <v>56</v>
      </c>
      <c r="T638" t="s">
        <v>57</v>
      </c>
      <c r="U638" t="s">
        <v>78</v>
      </c>
      <c r="V638" t="s">
        <v>50</v>
      </c>
      <c r="W638" t="s">
        <v>1336</v>
      </c>
      <c r="X638" t="s">
        <v>80</v>
      </c>
      <c r="Y638">
        <v>9007199254741624</v>
      </c>
      <c r="Z638">
        <v>0</v>
      </c>
      <c r="AA638" t="s">
        <v>50</v>
      </c>
      <c r="AB638" t="b">
        <v>1</v>
      </c>
      <c r="AD638" s="3">
        <v>0.125</v>
      </c>
      <c r="AE638" s="2">
        <v>45917.5</v>
      </c>
      <c r="AF638" t="s">
        <v>60</v>
      </c>
    </row>
    <row r="639">
      <c r="A639" t="s">
        <v>1337</v>
      </c>
      <c r="B639" s="2">
        <v>45916.5</v>
      </c>
      <c r="C639" t="s">
        <v>62</v>
      </c>
      <c r="D639" t="s">
        <f>'客户档案'!B5</f>
        <v>63</v>
      </c>
      <c r="E639" t="s">
        <v>39</v>
      </c>
      <c r="F639" t="s">
        <v>40</v>
      </c>
      <c r="G639" t="s">
        <f>'商品目录'!B3</f>
        <v>41</v>
      </c>
      <c r="H639" t="s">
        <v>42</v>
      </c>
      <c r="I639">
        <v>6</v>
      </c>
      <c r="J639" s="4">
        <v>99</v>
      </c>
      <c r="K639" s="4">
        <f>I639*J639</f>
        <v>594</v>
      </c>
      <c r="L639" s="3">
        <v>0</v>
      </c>
      <c r="M639" s="4">
        <f>K639*L639</f>
        <v>0</v>
      </c>
      <c r="N639" s="4">
        <v>20</v>
      </c>
      <c r="O639" s="4">
        <f>K639-M639+N639</f>
        <v>614</v>
      </c>
      <c r="P639" t="s">
        <v>43</v>
      </c>
      <c r="Q639" t="b">
        <v>0</v>
      </c>
      <c r="R639" t="s">
        <v>44</v>
      </c>
      <c r="S639" t="s">
        <v>68</v>
      </c>
      <c r="T639" t="s">
        <v>69</v>
      </c>
      <c r="U639" t="s">
        <v>39</v>
      </c>
      <c r="V639" t="s">
        <v>63</v>
      </c>
      <c r="W639" t="s">
        <v>1338</v>
      </c>
      <c r="X639" t="s">
        <v>0</v>
      </c>
      <c r="Y639">
        <v>9007199254741625</v>
      </c>
      <c r="Z639">
        <v>0</v>
      </c>
      <c r="AA639" t="s">
        <v>63</v>
      </c>
      <c r="AB639" t="b">
        <v>0</v>
      </c>
      <c r="AD639" s="3">
        <v>0.125</v>
      </c>
      <c r="AE639" s="2">
        <v>45918.5</v>
      </c>
      <c r="AF639" t="s">
        <v>60</v>
      </c>
    </row>
    <row r="640">
      <c r="A640" t="s">
        <v>1339</v>
      </c>
      <c r="B640" s="2">
        <v>45917.5</v>
      </c>
      <c r="C640" t="s">
        <v>37</v>
      </c>
      <c r="D640" t="s">
        <f>'客户档案'!B3</f>
        <v>38</v>
      </c>
      <c r="E640" t="s">
        <v>51</v>
      </c>
      <c r="F640" t="s">
        <v>52</v>
      </c>
      <c r="G640" t="s">
        <f>'商品目录'!B4</f>
        <v>53</v>
      </c>
      <c r="H640" t="s">
        <v>54</v>
      </c>
      <c r="I640">
        <v>8</v>
      </c>
      <c r="J640" s="4">
        <v>129</v>
      </c>
      <c r="K640" s="4">
        <f>I640*J640</f>
        <v>1032</v>
      </c>
      <c r="L640" s="3">
        <v>0.5</v>
      </c>
      <c r="M640" s="4">
        <f>K640*L640</f>
        <v>516</v>
      </c>
      <c r="N640" s="4">
        <v>0</v>
      </c>
      <c r="O640" s="4">
        <f>K640-M640+N640</f>
        <v>516</v>
      </c>
      <c r="P640" t="s">
        <v>43</v>
      </c>
      <c r="Q640" t="b">
        <v>1</v>
      </c>
      <c r="R640" t="s">
        <v>55</v>
      </c>
      <c r="S640" t="s">
        <v>45</v>
      </c>
      <c r="T640" t="s">
        <v>46</v>
      </c>
      <c r="U640" t="s">
        <v>51</v>
      </c>
      <c r="V640" t="s">
        <v>38</v>
      </c>
      <c r="W640" t="s">
        <v>1340</v>
      </c>
      <c r="X640" t="s">
        <v>59</v>
      </c>
      <c r="Y640">
        <v>9007199254741626</v>
      </c>
      <c r="Z640">
        <v>0</v>
      </c>
      <c r="AA640" t="s">
        <v>38</v>
      </c>
      <c r="AB640" t="b">
        <v>1</v>
      </c>
      <c r="AD640" s="3">
        <v>0.125</v>
      </c>
      <c r="AE640" s="2">
        <v>45919.5</v>
      </c>
      <c r="AF640" t="s">
        <v>60</v>
      </c>
    </row>
    <row r="641">
      <c r="A641" t="s">
        <v>1341</v>
      </c>
      <c r="B641" s="2">
        <v>45918.5</v>
      </c>
      <c r="C641" t="s">
        <v>49</v>
      </c>
      <c r="D641" t="s">
        <f>'客户档案'!B4</f>
        <v>50</v>
      </c>
      <c r="E641" t="s">
        <v>64</v>
      </c>
      <c r="F641" t="s">
        <v>65</v>
      </c>
      <c r="G641" t="s">
        <f>'商品目录'!B5</f>
        <v>66</v>
      </c>
      <c r="H641" t="s">
        <v>67</v>
      </c>
      <c r="I641">
        <v>10</v>
      </c>
      <c r="J641" s="4">
        <v>45</v>
      </c>
      <c r="K641" s="4">
        <f>I641*J641</f>
        <v>450</v>
      </c>
      <c r="L641" s="3">
        <v>0</v>
      </c>
      <c r="M641" s="4">
        <f>K641*L641</f>
        <v>0</v>
      </c>
      <c r="N641" s="4">
        <v>10</v>
      </c>
      <c r="O641" s="4">
        <f>K641-M641+N641</f>
        <v>460</v>
      </c>
      <c r="P641" t="s">
        <v>43</v>
      </c>
      <c r="Q641" t="b">
        <v>1</v>
      </c>
      <c r="R641" t="s">
        <v>55</v>
      </c>
      <c r="S641" t="s">
        <v>56</v>
      </c>
      <c r="T641" t="s">
        <v>57</v>
      </c>
      <c r="U641" t="s">
        <v>70</v>
      </c>
      <c r="V641" t="s">
        <v>50</v>
      </c>
      <c r="W641" t="s">
        <v>1342</v>
      </c>
      <c r="X641" t="s">
        <v>72</v>
      </c>
      <c r="Y641">
        <v>9007199254741627</v>
      </c>
      <c r="Z641">
        <v>0</v>
      </c>
      <c r="AA641" t="s">
        <v>50</v>
      </c>
      <c r="AB641" t="b">
        <v>0</v>
      </c>
      <c r="AD641" s="3">
        <v>0.125</v>
      </c>
      <c r="AE641" s="2">
        <v>45920.5</v>
      </c>
      <c r="AF641" t="s">
        <v>60</v>
      </c>
    </row>
    <row r="642">
      <c r="A642" t="s">
        <v>1343</v>
      </c>
      <c r="B642" s="2">
        <v>45919.5</v>
      </c>
      <c r="C642" t="s">
        <v>62</v>
      </c>
      <c r="D642" t="s">
        <f>'客户档案'!B5</f>
        <v>63</v>
      </c>
      <c r="E642" t="s">
        <v>74</v>
      </c>
      <c r="F642" t="s">
        <v>75</v>
      </c>
      <c r="G642" t="s">
        <f>'商品目录'!B6</f>
        <v>76</v>
      </c>
      <c r="H642" t="s">
        <v>77</v>
      </c>
      <c r="I642">
        <v>2</v>
      </c>
      <c r="J642" s="4">
        <v>8</v>
      </c>
      <c r="K642" s="4">
        <f>I642*J642</f>
        <v>16</v>
      </c>
      <c r="L642" s="3">
        <v>0.5</v>
      </c>
      <c r="M642" s="4">
        <f>K642*L642</f>
        <v>8</v>
      </c>
      <c r="N642" s="4">
        <v>20</v>
      </c>
      <c r="O642" s="4">
        <f>K642-M642+N642</f>
        <v>28</v>
      </c>
      <c r="P642" t="s">
        <v>43</v>
      </c>
      <c r="Q642" t="b">
        <v>1</v>
      </c>
      <c r="R642" t="s">
        <v>55</v>
      </c>
      <c r="S642" t="s">
        <v>68</v>
      </c>
      <c r="T642" t="s">
        <v>69</v>
      </c>
      <c r="U642" t="s">
        <v>78</v>
      </c>
      <c r="V642" t="s">
        <v>63</v>
      </c>
      <c r="W642" t="s">
        <v>1344</v>
      </c>
      <c r="X642" t="s">
        <v>80</v>
      </c>
      <c r="Y642">
        <v>9007199254741628</v>
      </c>
      <c r="Z642">
        <v>0</v>
      </c>
      <c r="AA642" t="s">
        <v>63</v>
      </c>
      <c r="AB642" t="b">
        <v>1</v>
      </c>
      <c r="AD642" s="3">
        <v>0.125</v>
      </c>
      <c r="AE642" s="2">
        <v>45921.5</v>
      </c>
      <c r="AF642" t="s">
        <v>60</v>
      </c>
    </row>
    <row r="643">
      <c r="A643" t="s">
        <v>1345</v>
      </c>
      <c r="B643" s="2">
        <v>45920.5</v>
      </c>
      <c r="C643" t="s">
        <v>37</v>
      </c>
      <c r="D643" t="s">
        <f>'客户档案'!B3</f>
        <v>38</v>
      </c>
      <c r="E643" t="s">
        <v>39</v>
      </c>
      <c r="F643" t="s">
        <v>40</v>
      </c>
      <c r="G643" t="s">
        <f>'商品目录'!B3</f>
        <v>41</v>
      </c>
      <c r="H643" t="s">
        <v>42</v>
      </c>
      <c r="I643">
        <v>4</v>
      </c>
      <c r="J643" s="4">
        <v>99</v>
      </c>
      <c r="K643" s="4">
        <f>I643*J643</f>
        <v>396</v>
      </c>
      <c r="L643" s="3">
        <v>0</v>
      </c>
      <c r="M643" s="4">
        <f>K643*L643</f>
        <v>0</v>
      </c>
      <c r="N643" s="4">
        <v>0</v>
      </c>
      <c r="O643" s="4">
        <f>K643-M643+N643</f>
        <v>396</v>
      </c>
      <c r="P643" t="s">
        <v>43</v>
      </c>
      <c r="Q643" t="b">
        <v>0</v>
      </c>
      <c r="R643" t="s">
        <v>44</v>
      </c>
      <c r="S643" t="s">
        <v>45</v>
      </c>
      <c r="T643" t="s">
        <v>46</v>
      </c>
      <c r="U643" t="s">
        <v>39</v>
      </c>
      <c r="V643" t="s">
        <v>38</v>
      </c>
      <c r="W643" t="s">
        <v>1346</v>
      </c>
      <c r="X643" t="s">
        <v>0</v>
      </c>
      <c r="Y643">
        <v>9007199254741629</v>
      </c>
      <c r="Z643">
        <v>0</v>
      </c>
      <c r="AA643" t="s">
        <v>38</v>
      </c>
      <c r="AB643" t="b">
        <v>0</v>
      </c>
      <c r="AD643" s="3">
        <v>0.125</v>
      </c>
      <c r="AE643" s="2">
        <v>45922.5</v>
      </c>
      <c r="AF643" t="s">
        <v>60</v>
      </c>
    </row>
    <row r="644">
      <c r="A644" t="s">
        <v>1347</v>
      </c>
      <c r="B644" s="2">
        <v>45921.5</v>
      </c>
      <c r="C644" t="s">
        <v>49</v>
      </c>
      <c r="D644" t="s">
        <f>'客户档案'!B4</f>
        <v>50</v>
      </c>
      <c r="E644" t="s">
        <v>51</v>
      </c>
      <c r="F644" t="s">
        <v>52</v>
      </c>
      <c r="G644" t="s">
        <f>'商品目录'!B4</f>
        <v>53</v>
      </c>
      <c r="H644" t="s">
        <v>54</v>
      </c>
      <c r="I644">
        <v>6</v>
      </c>
      <c r="J644" s="4">
        <v>129</v>
      </c>
      <c r="K644" s="4">
        <f>I644*J644</f>
        <v>774</v>
      </c>
      <c r="L644" s="3">
        <v>0.5</v>
      </c>
      <c r="M644" s="4">
        <f>K644*L644</f>
        <v>387</v>
      </c>
      <c r="N644" s="4">
        <v>10</v>
      </c>
      <c r="O644" s="4">
        <f>K644-M644+N644</f>
        <v>397</v>
      </c>
      <c r="P644" t="s">
        <v>43</v>
      </c>
      <c r="Q644" t="b">
        <v>1</v>
      </c>
      <c r="R644" t="s">
        <v>55</v>
      </c>
      <c r="S644" t="s">
        <v>56</v>
      </c>
      <c r="T644" t="s">
        <v>57</v>
      </c>
      <c r="U644" t="s">
        <v>51</v>
      </c>
      <c r="V644" t="s">
        <v>50</v>
      </c>
      <c r="W644" t="s">
        <v>1348</v>
      </c>
      <c r="X644" t="s">
        <v>59</v>
      </c>
      <c r="Y644">
        <v>9007199254741630</v>
      </c>
      <c r="Z644">
        <v>0</v>
      </c>
      <c r="AA644" t="s">
        <v>50</v>
      </c>
      <c r="AB644" t="b">
        <v>1</v>
      </c>
      <c r="AD644" s="3">
        <v>0.125</v>
      </c>
      <c r="AE644" s="2">
        <v>45923.5</v>
      </c>
      <c r="AF644" t="s">
        <v>60</v>
      </c>
    </row>
    <row r="645">
      <c r="A645" t="s">
        <v>1349</v>
      </c>
      <c r="B645" s="2">
        <v>45922.5</v>
      </c>
      <c r="C645" t="s">
        <v>62</v>
      </c>
      <c r="D645" t="s">
        <f>'客户档案'!B5</f>
        <v>63</v>
      </c>
      <c r="E645" t="s">
        <v>64</v>
      </c>
      <c r="F645" t="s">
        <v>65</v>
      </c>
      <c r="G645" t="s">
        <f>'商品目录'!B5</f>
        <v>66</v>
      </c>
      <c r="H645" t="s">
        <v>67</v>
      </c>
      <c r="I645">
        <v>8</v>
      </c>
      <c r="J645" s="4">
        <v>45</v>
      </c>
      <c r="K645" s="4">
        <f>I645*J645</f>
        <v>360</v>
      </c>
      <c r="L645" s="3">
        <v>0</v>
      </c>
      <c r="M645" s="4">
        <f>K645*L645</f>
        <v>0</v>
      </c>
      <c r="N645" s="4">
        <v>20</v>
      </c>
      <c r="O645" s="4">
        <f>K645-M645+N645</f>
        <v>380</v>
      </c>
      <c r="P645" t="s">
        <v>43</v>
      </c>
      <c r="Q645" t="b">
        <v>1</v>
      </c>
      <c r="R645" t="s">
        <v>55</v>
      </c>
      <c r="S645" t="s">
        <v>68</v>
      </c>
      <c r="T645" t="s">
        <v>69</v>
      </c>
      <c r="U645" t="s">
        <v>70</v>
      </c>
      <c r="V645" t="s">
        <v>63</v>
      </c>
      <c r="W645" t="s">
        <v>1350</v>
      </c>
      <c r="X645" t="s">
        <v>72</v>
      </c>
      <c r="Y645">
        <v>9007199254741631</v>
      </c>
      <c r="Z645">
        <v>0</v>
      </c>
      <c r="AA645" t="s">
        <v>63</v>
      </c>
      <c r="AB645" t="b">
        <v>0</v>
      </c>
      <c r="AD645" s="3">
        <v>0.125</v>
      </c>
      <c r="AE645" s="2">
        <v>45924.5</v>
      </c>
      <c r="AF645" t="s">
        <v>60</v>
      </c>
    </row>
    <row r="646">
      <c r="A646" t="s">
        <v>1351</v>
      </c>
      <c r="B646" s="2">
        <v>45923.5</v>
      </c>
      <c r="C646" t="s">
        <v>37</v>
      </c>
      <c r="D646" t="s">
        <f>'客户档案'!B3</f>
        <v>38</v>
      </c>
      <c r="E646" t="s">
        <v>74</v>
      </c>
      <c r="F646" t="s">
        <v>75</v>
      </c>
      <c r="G646" t="s">
        <f>'商品目录'!B6</f>
        <v>76</v>
      </c>
      <c r="H646" t="s">
        <v>77</v>
      </c>
      <c r="I646">
        <v>10</v>
      </c>
      <c r="J646" s="4">
        <v>8</v>
      </c>
      <c r="K646" s="4">
        <f>I646*J646</f>
        <v>80</v>
      </c>
      <c r="L646" s="3">
        <v>0.5</v>
      </c>
      <c r="M646" s="4">
        <f>K646*L646</f>
        <v>40</v>
      </c>
      <c r="N646" s="4">
        <v>0</v>
      </c>
      <c r="O646" s="4">
        <f>K646-M646+N646</f>
        <v>40</v>
      </c>
      <c r="P646" t="s">
        <v>43</v>
      </c>
      <c r="Q646" t="b">
        <v>1</v>
      </c>
      <c r="R646" t="s">
        <v>55</v>
      </c>
      <c r="S646" t="s">
        <v>45</v>
      </c>
      <c r="T646" t="s">
        <v>46</v>
      </c>
      <c r="U646" t="s">
        <v>78</v>
      </c>
      <c r="V646" t="s">
        <v>38</v>
      </c>
      <c r="W646" t="s">
        <v>1352</v>
      </c>
      <c r="X646" t="s">
        <v>80</v>
      </c>
      <c r="Y646">
        <v>9007199254741632</v>
      </c>
      <c r="Z646">
        <v>0</v>
      </c>
      <c r="AA646" t="s">
        <v>38</v>
      </c>
      <c r="AB646" t="b">
        <v>1</v>
      </c>
      <c r="AD646" s="3">
        <v>0.125</v>
      </c>
      <c r="AE646" s="2">
        <v>45925.5</v>
      </c>
      <c r="AF646" t="s">
        <v>60</v>
      </c>
    </row>
    <row r="647">
      <c r="A647" t="s">
        <v>1353</v>
      </c>
      <c r="B647" s="2">
        <v>45924.5</v>
      </c>
      <c r="C647" t="s">
        <v>49</v>
      </c>
      <c r="D647" t="s">
        <f>'客户档案'!B4</f>
        <v>50</v>
      </c>
      <c r="E647" t="s">
        <v>39</v>
      </c>
      <c r="F647" t="s">
        <v>40</v>
      </c>
      <c r="G647" t="s">
        <f>'商品目录'!B3</f>
        <v>41</v>
      </c>
      <c r="H647" t="s">
        <v>42</v>
      </c>
      <c r="I647">
        <v>2</v>
      </c>
      <c r="J647" s="4">
        <v>99</v>
      </c>
      <c r="K647" s="4">
        <f>I647*J647</f>
        <v>198</v>
      </c>
      <c r="L647" s="3">
        <v>0</v>
      </c>
      <c r="M647" s="4">
        <f>K647*L647</f>
        <v>0</v>
      </c>
      <c r="N647" s="4">
        <v>10</v>
      </c>
      <c r="O647" s="4">
        <f>K647-M647+N647</f>
        <v>208</v>
      </c>
      <c r="P647" t="s">
        <v>43</v>
      </c>
      <c r="Q647" t="b">
        <v>0</v>
      </c>
      <c r="R647" t="s">
        <v>44</v>
      </c>
      <c r="S647" t="s">
        <v>56</v>
      </c>
      <c r="T647" t="s">
        <v>57</v>
      </c>
      <c r="U647" t="s">
        <v>39</v>
      </c>
      <c r="V647" t="s">
        <v>50</v>
      </c>
      <c r="W647" t="s">
        <v>1354</v>
      </c>
      <c r="X647" t="s">
        <v>0</v>
      </c>
      <c r="Y647">
        <v>9007199254741633</v>
      </c>
      <c r="Z647">
        <v>0</v>
      </c>
      <c r="AA647" t="s">
        <v>50</v>
      </c>
      <c r="AB647" t="b">
        <v>0</v>
      </c>
      <c r="AD647" s="3">
        <v>0.125</v>
      </c>
      <c r="AE647" s="2">
        <v>45926.5</v>
      </c>
      <c r="AF647" t="s">
        <v>60</v>
      </c>
    </row>
    <row r="648">
      <c r="A648" t="s">
        <v>1355</v>
      </c>
      <c r="B648" s="2">
        <v>45925.5</v>
      </c>
      <c r="C648" t="s">
        <v>62</v>
      </c>
      <c r="D648" t="s">
        <f>'客户档案'!B5</f>
        <v>63</v>
      </c>
      <c r="E648" t="s">
        <v>51</v>
      </c>
      <c r="F648" t="s">
        <v>52</v>
      </c>
      <c r="G648" t="s">
        <f>'商品目录'!B4</f>
        <v>53</v>
      </c>
      <c r="H648" t="s">
        <v>54</v>
      </c>
      <c r="I648">
        <v>4</v>
      </c>
      <c r="J648" s="4">
        <v>129</v>
      </c>
      <c r="K648" s="4">
        <f>I648*J648</f>
        <v>516</v>
      </c>
      <c r="L648" s="3">
        <v>0.5</v>
      </c>
      <c r="M648" s="4">
        <f>K648*L648</f>
        <v>258</v>
      </c>
      <c r="N648" s="4">
        <v>20</v>
      </c>
      <c r="O648" s="4">
        <f>K648-M648+N648</f>
        <v>278</v>
      </c>
      <c r="P648" t="s">
        <v>43</v>
      </c>
      <c r="Q648" t="b">
        <v>1</v>
      </c>
      <c r="R648" t="s">
        <v>55</v>
      </c>
      <c r="S648" t="s">
        <v>68</v>
      </c>
      <c r="T648" t="s">
        <v>69</v>
      </c>
      <c r="U648" t="s">
        <v>51</v>
      </c>
      <c r="V648" t="s">
        <v>63</v>
      </c>
      <c r="W648" t="s">
        <v>1356</v>
      </c>
      <c r="X648" t="s">
        <v>59</v>
      </c>
      <c r="Y648">
        <v>9007199254741634</v>
      </c>
      <c r="Z648">
        <v>0</v>
      </c>
      <c r="AA648" t="s">
        <v>63</v>
      </c>
      <c r="AB648" t="b">
        <v>1</v>
      </c>
      <c r="AD648" s="3">
        <v>0.125</v>
      </c>
      <c r="AE648" s="2">
        <v>45927.5</v>
      </c>
      <c r="AF648" t="s">
        <v>60</v>
      </c>
    </row>
    <row r="649">
      <c r="A649" t="s">
        <v>1357</v>
      </c>
      <c r="B649" s="2">
        <v>45926.5</v>
      </c>
      <c r="C649" t="s">
        <v>37</v>
      </c>
      <c r="D649" t="s">
        <f>'客户档案'!B3</f>
        <v>38</v>
      </c>
      <c r="E649" t="s">
        <v>64</v>
      </c>
      <c r="F649" t="s">
        <v>65</v>
      </c>
      <c r="G649" t="s">
        <f>'商品目录'!B5</f>
        <v>66</v>
      </c>
      <c r="H649" t="s">
        <v>67</v>
      </c>
      <c r="I649">
        <v>6</v>
      </c>
      <c r="J649" s="4">
        <v>45</v>
      </c>
      <c r="K649" s="4">
        <f>I649*J649</f>
        <v>270</v>
      </c>
      <c r="L649" s="3">
        <v>0</v>
      </c>
      <c r="M649" s="4">
        <f>K649*L649</f>
        <v>0</v>
      </c>
      <c r="N649" s="4">
        <v>0</v>
      </c>
      <c r="O649" s="4">
        <f>K649-M649+N649</f>
        <v>270</v>
      </c>
      <c r="P649" t="s">
        <v>43</v>
      </c>
      <c r="Q649" t="b">
        <v>1</v>
      </c>
      <c r="R649" t="s">
        <v>55</v>
      </c>
      <c r="S649" t="s">
        <v>45</v>
      </c>
      <c r="T649" t="s">
        <v>46</v>
      </c>
      <c r="U649" t="s">
        <v>70</v>
      </c>
      <c r="V649" t="s">
        <v>38</v>
      </c>
      <c r="W649" t="s">
        <v>1358</v>
      </c>
      <c r="X649" t="s">
        <v>72</v>
      </c>
      <c r="Y649">
        <v>9007199254741635</v>
      </c>
      <c r="Z649">
        <v>0</v>
      </c>
      <c r="AA649" t="s">
        <v>38</v>
      </c>
      <c r="AB649" t="b">
        <v>0</v>
      </c>
      <c r="AD649" s="3">
        <v>0.125</v>
      </c>
      <c r="AE649" s="2">
        <v>45928.5</v>
      </c>
      <c r="AF649" t="s">
        <v>60</v>
      </c>
    </row>
    <row r="650">
      <c r="A650" t="s">
        <v>1359</v>
      </c>
      <c r="B650" s="2">
        <v>45927.5</v>
      </c>
      <c r="C650" t="s">
        <v>49</v>
      </c>
      <c r="D650" t="s">
        <f>'客户档案'!B4</f>
        <v>50</v>
      </c>
      <c r="E650" t="s">
        <v>74</v>
      </c>
      <c r="F650" t="s">
        <v>75</v>
      </c>
      <c r="G650" t="s">
        <f>'商品目录'!B6</f>
        <v>76</v>
      </c>
      <c r="H650" t="s">
        <v>77</v>
      </c>
      <c r="I650">
        <v>8</v>
      </c>
      <c r="J650" s="4">
        <v>8</v>
      </c>
      <c r="K650" s="4">
        <f>I650*J650</f>
        <v>64</v>
      </c>
      <c r="L650" s="3">
        <v>0.5</v>
      </c>
      <c r="M650" s="4">
        <f>K650*L650</f>
        <v>32</v>
      </c>
      <c r="N650" s="4">
        <v>10</v>
      </c>
      <c r="O650" s="4">
        <f>K650-M650+N650</f>
        <v>42</v>
      </c>
      <c r="P650" t="s">
        <v>43</v>
      </c>
      <c r="Q650" t="b">
        <v>1</v>
      </c>
      <c r="R650" t="s">
        <v>55</v>
      </c>
      <c r="S650" t="s">
        <v>56</v>
      </c>
      <c r="T650" t="s">
        <v>57</v>
      </c>
      <c r="U650" t="s">
        <v>78</v>
      </c>
      <c r="V650" t="s">
        <v>50</v>
      </c>
      <c r="W650" t="s">
        <v>1360</v>
      </c>
      <c r="X650" t="s">
        <v>80</v>
      </c>
      <c r="Y650">
        <v>9007199254741636</v>
      </c>
      <c r="Z650">
        <v>0</v>
      </c>
      <c r="AA650" t="s">
        <v>50</v>
      </c>
      <c r="AB650" t="b">
        <v>1</v>
      </c>
      <c r="AD650" s="3">
        <v>0.125</v>
      </c>
      <c r="AE650" s="2">
        <v>45929.5</v>
      </c>
      <c r="AF650" t="s">
        <v>60</v>
      </c>
    </row>
    <row r="651">
      <c r="A651" t="s">
        <v>1361</v>
      </c>
      <c r="B651" s="2">
        <v>45900.5</v>
      </c>
      <c r="C651" t="s">
        <v>62</v>
      </c>
      <c r="D651" t="s">
        <f>'客户档案'!B5</f>
        <v>63</v>
      </c>
      <c r="E651" t="s">
        <v>39</v>
      </c>
      <c r="F651" t="s">
        <v>40</v>
      </c>
      <c r="G651" t="s">
        <f>'商品目录'!B3</f>
        <v>41</v>
      </c>
      <c r="H651" t="s">
        <v>42</v>
      </c>
      <c r="I651">
        <v>10</v>
      </c>
      <c r="J651" s="4">
        <v>99</v>
      </c>
      <c r="K651" s="4">
        <f>I651*J651</f>
        <v>990</v>
      </c>
      <c r="L651" s="3">
        <v>0</v>
      </c>
      <c r="M651" s="4">
        <f>K651*L651</f>
        <v>0</v>
      </c>
      <c r="N651" s="4">
        <v>20</v>
      </c>
      <c r="O651" s="4">
        <f>K651-M651+N651</f>
        <v>1010</v>
      </c>
      <c r="P651" t="s">
        <v>43</v>
      </c>
      <c r="Q651" t="b">
        <v>0</v>
      </c>
      <c r="R651" t="s">
        <v>44</v>
      </c>
      <c r="S651" t="s">
        <v>68</v>
      </c>
      <c r="T651" t="s">
        <v>69</v>
      </c>
      <c r="U651" t="s">
        <v>39</v>
      </c>
      <c r="V651" t="s">
        <v>63</v>
      </c>
      <c r="W651" t="s">
        <v>1362</v>
      </c>
      <c r="X651" t="s">
        <v>0</v>
      </c>
      <c r="Y651">
        <v>9007199254741637</v>
      </c>
      <c r="Z651">
        <v>0</v>
      </c>
      <c r="AA651" t="s">
        <v>63</v>
      </c>
      <c r="AB651" t="b">
        <v>0</v>
      </c>
      <c r="AD651" s="3">
        <v>0.125</v>
      </c>
      <c r="AE651" s="2">
        <v>45902.5</v>
      </c>
      <c r="AF651" t="s">
        <v>60</v>
      </c>
    </row>
    <row r="652">
      <c r="A652" t="s">
        <v>1363</v>
      </c>
      <c r="B652" s="2">
        <v>45901.5</v>
      </c>
      <c r="C652" t="s">
        <v>37</v>
      </c>
      <c r="D652" t="s">
        <f>'客户档案'!B3</f>
        <v>38</v>
      </c>
      <c r="E652" t="s">
        <v>51</v>
      </c>
      <c r="F652" t="s">
        <v>52</v>
      </c>
      <c r="G652" t="s">
        <f>'商品目录'!B4</f>
        <v>53</v>
      </c>
      <c r="H652" t="s">
        <v>54</v>
      </c>
      <c r="I652">
        <v>2</v>
      </c>
      <c r="J652" s="4">
        <v>129</v>
      </c>
      <c r="K652" s="4">
        <f>I652*J652</f>
        <v>258</v>
      </c>
      <c r="L652" s="3">
        <v>0.5</v>
      </c>
      <c r="M652" s="4">
        <f>K652*L652</f>
        <v>129</v>
      </c>
      <c r="N652" s="4">
        <v>0</v>
      </c>
      <c r="O652" s="4">
        <f>K652-M652+N652</f>
        <v>129</v>
      </c>
      <c r="P652" t="s">
        <v>43</v>
      </c>
      <c r="Q652" t="b">
        <v>1</v>
      </c>
      <c r="R652" t="s">
        <v>55</v>
      </c>
      <c r="S652" t="s">
        <v>45</v>
      </c>
      <c r="T652" t="s">
        <v>46</v>
      </c>
      <c r="U652" t="s">
        <v>51</v>
      </c>
      <c r="V652" t="s">
        <v>38</v>
      </c>
      <c r="W652" t="s">
        <v>1364</v>
      </c>
      <c r="X652" t="s">
        <v>59</v>
      </c>
      <c r="Y652">
        <v>9007199254741638</v>
      </c>
      <c r="Z652">
        <v>0</v>
      </c>
      <c r="AA652" t="s">
        <v>38</v>
      </c>
      <c r="AB652" t="b">
        <v>1</v>
      </c>
      <c r="AD652" s="3">
        <v>0.125</v>
      </c>
      <c r="AE652" s="2">
        <v>45903.5</v>
      </c>
      <c r="AF652" t="s">
        <v>60</v>
      </c>
    </row>
    <row r="653">
      <c r="A653" t="s">
        <v>1365</v>
      </c>
      <c r="B653" s="2">
        <v>45902.5</v>
      </c>
      <c r="C653" t="s">
        <v>49</v>
      </c>
      <c r="D653" t="s">
        <f>'客户档案'!B4</f>
        <v>50</v>
      </c>
      <c r="E653" t="s">
        <v>64</v>
      </c>
      <c r="F653" t="s">
        <v>65</v>
      </c>
      <c r="G653" t="s">
        <f>'商品目录'!B5</f>
        <v>66</v>
      </c>
      <c r="H653" t="s">
        <v>67</v>
      </c>
      <c r="I653">
        <v>4</v>
      </c>
      <c r="J653" s="4">
        <v>45</v>
      </c>
      <c r="K653" s="4">
        <f>I653*J653</f>
        <v>180</v>
      </c>
      <c r="L653" s="3">
        <v>0</v>
      </c>
      <c r="M653" s="4">
        <f>K653*L653</f>
        <v>0</v>
      </c>
      <c r="N653" s="4">
        <v>10</v>
      </c>
      <c r="O653" s="4">
        <f>K653-M653+N653</f>
        <v>190</v>
      </c>
      <c r="P653" t="s">
        <v>43</v>
      </c>
      <c r="Q653" t="b">
        <v>1</v>
      </c>
      <c r="R653" t="s">
        <v>55</v>
      </c>
      <c r="S653" t="s">
        <v>56</v>
      </c>
      <c r="T653" t="s">
        <v>57</v>
      </c>
      <c r="U653" t="s">
        <v>70</v>
      </c>
      <c r="V653" t="s">
        <v>50</v>
      </c>
      <c r="W653" t="s">
        <v>1366</v>
      </c>
      <c r="X653" t="s">
        <v>72</v>
      </c>
      <c r="Y653">
        <v>9007199254741639</v>
      </c>
      <c r="Z653">
        <v>2</v>
      </c>
      <c r="AA653" t="s">
        <v>50</v>
      </c>
      <c r="AB653" t="b">
        <v>0</v>
      </c>
      <c r="AD653" s="3">
        <v>0.125</v>
      </c>
      <c r="AE653" s="2">
        <v>45904.5</v>
      </c>
      <c r="AF653" t="s">
        <v>60</v>
      </c>
    </row>
    <row r="654">
      <c r="A654" t="s">
        <v>1367</v>
      </c>
      <c r="B654" s="2">
        <v>45903.5</v>
      </c>
      <c r="C654" t="s">
        <v>62</v>
      </c>
      <c r="D654" t="s">
        <f>'客户档案'!B5</f>
        <v>63</v>
      </c>
      <c r="E654" t="s">
        <v>74</v>
      </c>
      <c r="F654" t="s">
        <v>75</v>
      </c>
      <c r="G654" t="s">
        <f>'商品目录'!B6</f>
        <v>76</v>
      </c>
      <c r="H654" t="s">
        <v>77</v>
      </c>
      <c r="I654">
        <v>6</v>
      </c>
      <c r="J654" s="4">
        <v>8</v>
      </c>
      <c r="K654" s="4">
        <f>I654*J654</f>
        <v>48</v>
      </c>
      <c r="L654" s="3">
        <v>0.5</v>
      </c>
      <c r="M654" s="4">
        <f>K654*L654</f>
        <v>24</v>
      </c>
      <c r="N654" s="4">
        <v>20</v>
      </c>
      <c r="O654" s="4">
        <f>K654-M654+N654</f>
        <v>44</v>
      </c>
      <c r="P654" t="s">
        <v>43</v>
      </c>
      <c r="Q654" t="b">
        <v>1</v>
      </c>
      <c r="R654" t="s">
        <v>55</v>
      </c>
      <c r="S654" t="s">
        <v>68</v>
      </c>
      <c r="T654" t="s">
        <v>69</v>
      </c>
      <c r="U654" t="s">
        <v>78</v>
      </c>
      <c r="V654" t="s">
        <v>63</v>
      </c>
      <c r="W654" t="s">
        <v>1368</v>
      </c>
      <c r="X654" t="s">
        <v>80</v>
      </c>
      <c r="Y654">
        <v>9007199254741640</v>
      </c>
      <c r="Z654">
        <v>0</v>
      </c>
      <c r="AA654" t="s">
        <v>63</v>
      </c>
      <c r="AB654" t="b">
        <v>1</v>
      </c>
      <c r="AD654" s="3">
        <v>0.125</v>
      </c>
      <c r="AE654" s="2">
        <v>45905.5</v>
      </c>
      <c r="AF654" t="s">
        <v>60</v>
      </c>
    </row>
    <row r="655">
      <c r="A655" t="s">
        <v>1369</v>
      </c>
      <c r="B655" s="2">
        <v>45904.5</v>
      </c>
      <c r="C655" t="s">
        <v>37</v>
      </c>
      <c r="D655" t="s">
        <f>'客户档案'!B3</f>
        <v>38</v>
      </c>
      <c r="E655" t="s">
        <v>39</v>
      </c>
      <c r="F655" t="s">
        <v>40</v>
      </c>
      <c r="G655" t="s">
        <f>'商品目录'!B3</f>
        <v>41</v>
      </c>
      <c r="H655" t="s">
        <v>42</v>
      </c>
      <c r="I655">
        <v>8</v>
      </c>
      <c r="J655" s="4">
        <v>99</v>
      </c>
      <c r="K655" s="4">
        <f>I655*J655</f>
        <v>792</v>
      </c>
      <c r="L655" s="3">
        <v>0</v>
      </c>
      <c r="M655" s="4">
        <f>K655*L655</f>
        <v>0</v>
      </c>
      <c r="N655" s="4">
        <v>0</v>
      </c>
      <c r="O655" s="4">
        <f>K655-M655+N655</f>
        <v>792</v>
      </c>
      <c r="P655" t="s">
        <v>43</v>
      </c>
      <c r="Q655" t="b">
        <v>0</v>
      </c>
      <c r="R655" t="s">
        <v>44</v>
      </c>
      <c r="S655" t="s">
        <v>45</v>
      </c>
      <c r="T655" t="s">
        <v>46</v>
      </c>
      <c r="U655" t="s">
        <v>39</v>
      </c>
      <c r="V655" t="s">
        <v>38</v>
      </c>
      <c r="W655" t="s">
        <v>1370</v>
      </c>
      <c r="X655" t="s">
        <v>0</v>
      </c>
      <c r="Y655">
        <v>9007199254741641</v>
      </c>
      <c r="Z655">
        <v>0</v>
      </c>
      <c r="AA655" t="s">
        <v>38</v>
      </c>
      <c r="AB655" t="b">
        <v>0</v>
      </c>
      <c r="AD655" s="3">
        <v>0.125</v>
      </c>
      <c r="AE655" s="2">
        <v>45906.5</v>
      </c>
      <c r="AF655" t="s">
        <v>60</v>
      </c>
    </row>
    <row r="656">
      <c r="A656" t="s">
        <v>1371</v>
      </c>
      <c r="B656" s="2">
        <v>45905.5</v>
      </c>
      <c r="C656" t="s">
        <v>49</v>
      </c>
      <c r="D656" t="s">
        <f>'客户档案'!B4</f>
        <v>50</v>
      </c>
      <c r="E656" t="s">
        <v>51</v>
      </c>
      <c r="F656" t="s">
        <v>52</v>
      </c>
      <c r="G656" t="s">
        <f>'商品目录'!B4</f>
        <v>53</v>
      </c>
      <c r="H656" t="s">
        <v>54</v>
      </c>
      <c r="I656">
        <v>10</v>
      </c>
      <c r="J656" s="4">
        <v>129</v>
      </c>
      <c r="K656" s="4">
        <f>I656*J656</f>
        <v>1290</v>
      </c>
      <c r="L656" s="3">
        <v>0.5</v>
      </c>
      <c r="M656" s="4">
        <f>K656*L656</f>
        <v>645</v>
      </c>
      <c r="N656" s="4">
        <v>10</v>
      </c>
      <c r="O656" s="4">
        <f>K656-M656+N656</f>
        <v>655</v>
      </c>
      <c r="P656" t="s">
        <v>43</v>
      </c>
      <c r="Q656" t="b">
        <v>1</v>
      </c>
      <c r="R656" t="s">
        <v>55</v>
      </c>
      <c r="S656" t="s">
        <v>56</v>
      </c>
      <c r="T656" t="s">
        <v>57</v>
      </c>
      <c r="U656" t="s">
        <v>51</v>
      </c>
      <c r="V656" t="s">
        <v>50</v>
      </c>
      <c r="W656" t="s">
        <v>1372</v>
      </c>
      <c r="X656" t="s">
        <v>59</v>
      </c>
      <c r="Y656">
        <v>9007199254741642</v>
      </c>
      <c r="Z656">
        <v>0</v>
      </c>
      <c r="AA656" t="s">
        <v>50</v>
      </c>
      <c r="AB656" t="b">
        <v>1</v>
      </c>
      <c r="AD656" s="3">
        <v>0.125</v>
      </c>
      <c r="AE656" s="2">
        <v>45907.5</v>
      </c>
      <c r="AF656" t="s">
        <v>60</v>
      </c>
    </row>
    <row r="657">
      <c r="A657" t="s">
        <v>1373</v>
      </c>
      <c r="B657" s="2">
        <v>45906.5</v>
      </c>
      <c r="C657" t="s">
        <v>62</v>
      </c>
      <c r="D657" t="s">
        <f>'客户档案'!B5</f>
        <v>63</v>
      </c>
      <c r="E657" t="s">
        <v>64</v>
      </c>
      <c r="F657" t="s">
        <v>65</v>
      </c>
      <c r="G657" t="s">
        <f>'商品目录'!B5</f>
        <v>66</v>
      </c>
      <c r="H657" t="s">
        <v>67</v>
      </c>
      <c r="I657">
        <v>2</v>
      </c>
      <c r="J657" s="4">
        <v>45</v>
      </c>
      <c r="K657" s="4">
        <f>I657*J657</f>
        <v>90</v>
      </c>
      <c r="L657" s="3">
        <v>0</v>
      </c>
      <c r="M657" s="4">
        <f>K657*L657</f>
        <v>0</v>
      </c>
      <c r="N657" s="4">
        <v>20</v>
      </c>
      <c r="O657" s="4">
        <f>K657-M657+N657</f>
        <v>110</v>
      </c>
      <c r="P657" t="s">
        <v>43</v>
      </c>
      <c r="Q657" t="b">
        <v>1</v>
      </c>
      <c r="R657" t="s">
        <v>55</v>
      </c>
      <c r="S657" t="s">
        <v>68</v>
      </c>
      <c r="T657" t="s">
        <v>69</v>
      </c>
      <c r="U657" t="s">
        <v>70</v>
      </c>
      <c r="V657" t="s">
        <v>63</v>
      </c>
      <c r="W657" t="s">
        <v>1374</v>
      </c>
      <c r="X657" t="s">
        <v>72</v>
      </c>
      <c r="Y657">
        <v>9007199254741643</v>
      </c>
      <c r="Z657">
        <v>0</v>
      </c>
      <c r="AA657" t="s">
        <v>63</v>
      </c>
      <c r="AB657" t="b">
        <v>0</v>
      </c>
      <c r="AD657" s="3">
        <v>0.125</v>
      </c>
      <c r="AE657" s="2">
        <v>45908.5</v>
      </c>
      <c r="AF657" t="s">
        <v>60</v>
      </c>
    </row>
    <row r="658">
      <c r="A658" t="s">
        <v>1375</v>
      </c>
      <c r="B658" s="2">
        <v>45907.5</v>
      </c>
      <c r="C658" t="s">
        <v>37</v>
      </c>
      <c r="D658" t="s">
        <f>'客户档案'!B3</f>
        <v>38</v>
      </c>
      <c r="E658" t="s">
        <v>74</v>
      </c>
      <c r="F658" t="s">
        <v>75</v>
      </c>
      <c r="G658" t="s">
        <f>'商品目录'!B6</f>
        <v>76</v>
      </c>
      <c r="H658" t="s">
        <v>77</v>
      </c>
      <c r="I658">
        <v>4</v>
      </c>
      <c r="J658" s="4">
        <v>8</v>
      </c>
      <c r="K658" s="4">
        <f>I658*J658</f>
        <v>32</v>
      </c>
      <c r="L658" s="3">
        <v>0.5</v>
      </c>
      <c r="M658" s="4">
        <f>K658*L658</f>
        <v>16</v>
      </c>
      <c r="N658" s="4">
        <v>0</v>
      </c>
      <c r="O658" s="4">
        <f>K658-M658+N658</f>
        <v>16</v>
      </c>
      <c r="P658" t="s">
        <v>43</v>
      </c>
      <c r="Q658" t="b">
        <v>1</v>
      </c>
      <c r="R658" t="s">
        <v>55</v>
      </c>
      <c r="S658" t="s">
        <v>45</v>
      </c>
      <c r="T658" t="s">
        <v>46</v>
      </c>
      <c r="U658" t="s">
        <v>78</v>
      </c>
      <c r="V658" t="s">
        <v>38</v>
      </c>
      <c r="W658" t="s">
        <v>1376</v>
      </c>
      <c r="X658" t="s">
        <v>80</v>
      </c>
      <c r="Y658">
        <v>9007199254741644</v>
      </c>
      <c r="Z658">
        <v>0</v>
      </c>
      <c r="AA658" t="s">
        <v>38</v>
      </c>
      <c r="AB658" t="b">
        <v>1</v>
      </c>
      <c r="AD658" s="3">
        <v>0.125</v>
      </c>
      <c r="AE658" s="2">
        <v>45909.5</v>
      </c>
      <c r="AF658" t="s">
        <v>60</v>
      </c>
    </row>
    <row r="659">
      <c r="A659" t="s">
        <v>1377</v>
      </c>
      <c r="B659" s="2">
        <v>45908.5</v>
      </c>
      <c r="C659" t="s">
        <v>49</v>
      </c>
      <c r="D659" t="s">
        <f>'客户档案'!B4</f>
        <v>50</v>
      </c>
      <c r="E659" t="s">
        <v>39</v>
      </c>
      <c r="F659" t="s">
        <v>40</v>
      </c>
      <c r="G659" t="s">
        <f>'商品目录'!B3</f>
        <v>41</v>
      </c>
      <c r="H659" t="s">
        <v>42</v>
      </c>
      <c r="I659">
        <v>6</v>
      </c>
      <c r="J659" s="4">
        <v>99</v>
      </c>
      <c r="K659" s="4">
        <f>I659*J659</f>
        <v>594</v>
      </c>
      <c r="L659" s="3">
        <v>0</v>
      </c>
      <c r="M659" s="4">
        <f>K659*L659</f>
        <v>0</v>
      </c>
      <c r="N659" s="4">
        <v>10</v>
      </c>
      <c r="O659" s="4">
        <f>K659-M659+N659</f>
        <v>604</v>
      </c>
      <c r="P659" t="s">
        <v>43</v>
      </c>
      <c r="Q659" t="b">
        <v>0</v>
      </c>
      <c r="R659" t="s">
        <v>44</v>
      </c>
      <c r="S659" t="s">
        <v>56</v>
      </c>
      <c r="T659" t="s">
        <v>57</v>
      </c>
      <c r="U659" t="s">
        <v>39</v>
      </c>
      <c r="V659" t="s">
        <v>50</v>
      </c>
      <c r="W659" t="s">
        <v>1378</v>
      </c>
      <c r="X659" t="s">
        <v>0</v>
      </c>
      <c r="Y659">
        <v>9007199254741645</v>
      </c>
      <c r="Z659">
        <v>0</v>
      </c>
      <c r="AA659" t="s">
        <v>50</v>
      </c>
      <c r="AB659" t="b">
        <v>0</v>
      </c>
      <c r="AD659" s="3">
        <v>0.125</v>
      </c>
      <c r="AE659" s="2">
        <v>45910.5</v>
      </c>
      <c r="AF659" t="s">
        <v>60</v>
      </c>
    </row>
    <row r="660">
      <c r="A660" t="s">
        <v>1379</v>
      </c>
      <c r="B660" s="2">
        <v>45909.5</v>
      </c>
      <c r="C660" t="s">
        <v>62</v>
      </c>
      <c r="D660" t="s">
        <f>'客户档案'!B5</f>
        <v>63</v>
      </c>
      <c r="E660" t="s">
        <v>51</v>
      </c>
      <c r="F660" t="s">
        <v>52</v>
      </c>
      <c r="G660" t="s">
        <f>'商品目录'!B4</f>
        <v>53</v>
      </c>
      <c r="H660" t="s">
        <v>54</v>
      </c>
      <c r="I660">
        <v>8</v>
      </c>
      <c r="J660" s="4">
        <v>129</v>
      </c>
      <c r="K660" s="4">
        <f>I660*J660</f>
        <v>1032</v>
      </c>
      <c r="L660" s="3">
        <v>0.5</v>
      </c>
      <c r="M660" s="4">
        <f>K660*L660</f>
        <v>516</v>
      </c>
      <c r="N660" s="4">
        <v>20</v>
      </c>
      <c r="O660" s="4">
        <f>K660-M660+N660</f>
        <v>536</v>
      </c>
      <c r="P660" t="s">
        <v>43</v>
      </c>
      <c r="Q660" t="b">
        <v>1</v>
      </c>
      <c r="R660" t="s">
        <v>55</v>
      </c>
      <c r="S660" t="s">
        <v>68</v>
      </c>
      <c r="T660" t="s">
        <v>69</v>
      </c>
      <c r="U660" t="s">
        <v>51</v>
      </c>
      <c r="V660" t="s">
        <v>63</v>
      </c>
      <c r="W660" t="s">
        <v>1380</v>
      </c>
      <c r="X660" t="s">
        <v>59</v>
      </c>
      <c r="Y660">
        <v>9007199254741646</v>
      </c>
      <c r="Z660">
        <v>0</v>
      </c>
      <c r="AA660" t="s">
        <v>63</v>
      </c>
      <c r="AB660" t="b">
        <v>1</v>
      </c>
      <c r="AD660" s="3">
        <v>0.125</v>
      </c>
      <c r="AE660" s="2">
        <v>45911.5</v>
      </c>
      <c r="AF660" t="s">
        <v>60</v>
      </c>
    </row>
    <row r="661">
      <c r="A661" t="s">
        <v>1381</v>
      </c>
      <c r="B661" s="2">
        <v>45910.5</v>
      </c>
      <c r="C661" t="s">
        <v>37</v>
      </c>
      <c r="D661" t="s">
        <f>'客户档案'!B3</f>
        <v>38</v>
      </c>
      <c r="E661" t="s">
        <v>64</v>
      </c>
      <c r="F661" t="s">
        <v>65</v>
      </c>
      <c r="G661" t="s">
        <f>'商品目录'!B5</f>
        <v>66</v>
      </c>
      <c r="H661" t="s">
        <v>67</v>
      </c>
      <c r="I661">
        <v>10</v>
      </c>
      <c r="J661" s="4">
        <v>45</v>
      </c>
      <c r="K661" s="4">
        <f>I661*J661</f>
        <v>450</v>
      </c>
      <c r="L661" s="3">
        <v>0</v>
      </c>
      <c r="M661" s="4">
        <f>K661*L661</f>
        <v>0</v>
      </c>
      <c r="N661" s="4">
        <v>0</v>
      </c>
      <c r="O661" s="4">
        <f>K661-M661+N661</f>
        <v>450</v>
      </c>
      <c r="P661" t="s">
        <v>43</v>
      </c>
      <c r="Q661" t="b">
        <v>1</v>
      </c>
      <c r="R661" t="s">
        <v>55</v>
      </c>
      <c r="S661" t="s">
        <v>45</v>
      </c>
      <c r="T661" t="s">
        <v>46</v>
      </c>
      <c r="U661" t="s">
        <v>70</v>
      </c>
      <c r="V661" t="s">
        <v>38</v>
      </c>
      <c r="W661" t="s">
        <v>1382</v>
      </c>
      <c r="X661" t="s">
        <v>72</v>
      </c>
      <c r="Y661">
        <v>9007199254741647</v>
      </c>
      <c r="Z661">
        <v>0</v>
      </c>
      <c r="AA661" t="s">
        <v>38</v>
      </c>
      <c r="AB661" t="b">
        <v>0</v>
      </c>
      <c r="AD661" s="3">
        <v>0.125</v>
      </c>
      <c r="AE661" s="2">
        <v>45912.5</v>
      </c>
      <c r="AF661" t="s">
        <v>60</v>
      </c>
    </row>
    <row r="662">
      <c r="A662" t="s">
        <v>1383</v>
      </c>
      <c r="B662" s="2">
        <v>45911.5</v>
      </c>
      <c r="C662" t="s">
        <v>49</v>
      </c>
      <c r="D662" t="s">
        <f>'客户档案'!B4</f>
        <v>50</v>
      </c>
      <c r="E662" t="s">
        <v>74</v>
      </c>
      <c r="F662" t="s">
        <v>75</v>
      </c>
      <c r="G662" t="s">
        <f>'商品目录'!B6</f>
        <v>76</v>
      </c>
      <c r="H662" t="s">
        <v>77</v>
      </c>
      <c r="I662">
        <v>2</v>
      </c>
      <c r="J662" s="4">
        <v>8</v>
      </c>
      <c r="K662" s="4">
        <f>I662*J662</f>
        <v>16</v>
      </c>
      <c r="L662" s="3">
        <v>0.5</v>
      </c>
      <c r="M662" s="4">
        <f>K662*L662</f>
        <v>8</v>
      </c>
      <c r="N662" s="4">
        <v>10</v>
      </c>
      <c r="O662" s="4">
        <f>K662-M662+N662</f>
        <v>18</v>
      </c>
      <c r="P662" t="s">
        <v>43</v>
      </c>
      <c r="Q662" t="b">
        <v>1</v>
      </c>
      <c r="R662" t="s">
        <v>55</v>
      </c>
      <c r="S662" t="s">
        <v>56</v>
      </c>
      <c r="T662" t="s">
        <v>57</v>
      </c>
      <c r="U662" t="s">
        <v>78</v>
      </c>
      <c r="V662" t="s">
        <v>50</v>
      </c>
      <c r="W662" t="s">
        <v>1384</v>
      </c>
      <c r="X662" t="s">
        <v>80</v>
      </c>
      <c r="Y662">
        <v>9007199254741648</v>
      </c>
      <c r="Z662">
        <v>0</v>
      </c>
      <c r="AA662" t="s">
        <v>50</v>
      </c>
      <c r="AB662" t="b">
        <v>1</v>
      </c>
      <c r="AD662" s="3">
        <v>0.125</v>
      </c>
      <c r="AE662" s="2">
        <v>45913.5</v>
      </c>
      <c r="AF662" t="s">
        <v>60</v>
      </c>
    </row>
    <row r="663">
      <c r="A663" t="s">
        <v>1385</v>
      </c>
      <c r="B663" s="2">
        <v>45912.5</v>
      </c>
      <c r="C663" t="s">
        <v>62</v>
      </c>
      <c r="D663" t="s">
        <f>'客户档案'!B5</f>
        <v>63</v>
      </c>
      <c r="E663" t="s">
        <v>39</v>
      </c>
      <c r="F663" t="s">
        <v>40</v>
      </c>
      <c r="G663" t="s">
        <f>'商品目录'!B3</f>
        <v>41</v>
      </c>
      <c r="H663" t="s">
        <v>42</v>
      </c>
      <c r="I663">
        <v>4</v>
      </c>
      <c r="J663" s="4">
        <v>99</v>
      </c>
      <c r="K663" s="4">
        <f>I663*J663</f>
        <v>396</v>
      </c>
      <c r="L663" s="3">
        <v>0</v>
      </c>
      <c r="M663" s="4">
        <f>K663*L663</f>
        <v>0</v>
      </c>
      <c r="N663" s="4">
        <v>20</v>
      </c>
      <c r="O663" s="4">
        <f>K663-M663+N663</f>
        <v>416</v>
      </c>
      <c r="P663" t="s">
        <v>43</v>
      </c>
      <c r="Q663" t="b">
        <v>0</v>
      </c>
      <c r="R663" t="s">
        <v>44</v>
      </c>
      <c r="S663" t="s">
        <v>68</v>
      </c>
      <c r="T663" t="s">
        <v>69</v>
      </c>
      <c r="U663" t="s">
        <v>39</v>
      </c>
      <c r="V663" t="s">
        <v>63</v>
      </c>
      <c r="W663" t="s">
        <v>1386</v>
      </c>
      <c r="X663" t="s">
        <v>0</v>
      </c>
      <c r="Y663">
        <v>9007199254741649</v>
      </c>
      <c r="Z663">
        <v>0</v>
      </c>
      <c r="AA663" t="s">
        <v>63</v>
      </c>
      <c r="AB663" t="b">
        <v>0</v>
      </c>
      <c r="AD663" s="3">
        <v>0.125</v>
      </c>
      <c r="AE663" s="2">
        <v>45914.5</v>
      </c>
      <c r="AF663" t="s">
        <v>60</v>
      </c>
    </row>
    <row r="664">
      <c r="A664" t="s">
        <v>1387</v>
      </c>
      <c r="B664" s="2">
        <v>45913.5</v>
      </c>
      <c r="C664" t="s">
        <v>37</v>
      </c>
      <c r="D664" t="s">
        <f>'客户档案'!B3</f>
        <v>38</v>
      </c>
      <c r="E664" t="s">
        <v>51</v>
      </c>
      <c r="F664" t="s">
        <v>52</v>
      </c>
      <c r="G664" t="s">
        <f>'商品目录'!B4</f>
        <v>53</v>
      </c>
      <c r="H664" t="s">
        <v>54</v>
      </c>
      <c r="I664">
        <v>6</v>
      </c>
      <c r="J664" s="4">
        <v>129</v>
      </c>
      <c r="K664" s="4">
        <f>I664*J664</f>
        <v>774</v>
      </c>
      <c r="L664" s="3">
        <v>0.5</v>
      </c>
      <c r="M664" s="4">
        <f>K664*L664</f>
        <v>387</v>
      </c>
      <c r="N664" s="4">
        <v>0</v>
      </c>
      <c r="O664" s="4">
        <f>K664-M664+N664</f>
        <v>387</v>
      </c>
      <c r="P664" t="s">
        <v>43</v>
      </c>
      <c r="Q664" t="b">
        <v>1</v>
      </c>
      <c r="R664" t="s">
        <v>55</v>
      </c>
      <c r="S664" t="s">
        <v>45</v>
      </c>
      <c r="T664" t="s">
        <v>46</v>
      </c>
      <c r="U664" t="s">
        <v>51</v>
      </c>
      <c r="V664" t="s">
        <v>38</v>
      </c>
      <c r="W664" t="s">
        <v>1388</v>
      </c>
      <c r="X664" t="s">
        <v>59</v>
      </c>
      <c r="Y664">
        <v>9007199254741650</v>
      </c>
      <c r="Z664">
        <v>0</v>
      </c>
      <c r="AA664" t="s">
        <v>38</v>
      </c>
      <c r="AB664" t="b">
        <v>1</v>
      </c>
      <c r="AD664" s="3">
        <v>0.125</v>
      </c>
      <c r="AE664" s="2">
        <v>45915.5</v>
      </c>
      <c r="AF664" t="s">
        <v>60</v>
      </c>
    </row>
    <row r="665">
      <c r="A665" t="s">
        <v>1389</v>
      </c>
      <c r="B665" s="2">
        <v>45914.5</v>
      </c>
      <c r="C665" t="s">
        <v>49</v>
      </c>
      <c r="D665" t="s">
        <f>'客户档案'!B4</f>
        <v>50</v>
      </c>
      <c r="E665" t="s">
        <v>64</v>
      </c>
      <c r="F665" t="s">
        <v>65</v>
      </c>
      <c r="G665" t="s">
        <f>'商品目录'!B5</f>
        <v>66</v>
      </c>
      <c r="H665" t="s">
        <v>67</v>
      </c>
      <c r="I665">
        <v>8</v>
      </c>
      <c r="J665" s="4">
        <v>45</v>
      </c>
      <c r="K665" s="4">
        <f>I665*J665</f>
        <v>360</v>
      </c>
      <c r="L665" s="3">
        <v>0</v>
      </c>
      <c r="M665" s="4">
        <f>K665*L665</f>
        <v>0</v>
      </c>
      <c r="N665" s="4">
        <v>10</v>
      </c>
      <c r="O665" s="4">
        <f>K665-M665+N665</f>
        <v>370</v>
      </c>
      <c r="P665" t="s">
        <v>43</v>
      </c>
      <c r="Q665" t="b">
        <v>1</v>
      </c>
      <c r="R665" t="s">
        <v>55</v>
      </c>
      <c r="S665" t="s">
        <v>56</v>
      </c>
      <c r="T665" t="s">
        <v>57</v>
      </c>
      <c r="U665" t="s">
        <v>70</v>
      </c>
      <c r="V665" t="s">
        <v>50</v>
      </c>
      <c r="W665" t="s">
        <v>1390</v>
      </c>
      <c r="X665" t="s">
        <v>72</v>
      </c>
      <c r="Y665">
        <v>9007199254741651</v>
      </c>
      <c r="Z665">
        <v>0</v>
      </c>
      <c r="AA665" t="s">
        <v>50</v>
      </c>
      <c r="AB665" t="b">
        <v>0</v>
      </c>
      <c r="AD665" s="3">
        <v>0.125</v>
      </c>
      <c r="AE665" s="2">
        <v>45916.5</v>
      </c>
      <c r="AF665" t="s">
        <v>60</v>
      </c>
    </row>
    <row r="666">
      <c r="A666" t="s">
        <v>1391</v>
      </c>
      <c r="B666" s="2">
        <v>45915.5</v>
      </c>
      <c r="C666" t="s">
        <v>62</v>
      </c>
      <c r="D666" t="s">
        <f>'客户档案'!B5</f>
        <v>63</v>
      </c>
      <c r="E666" t="s">
        <v>74</v>
      </c>
      <c r="F666" t="s">
        <v>75</v>
      </c>
      <c r="G666" t="s">
        <f>'商品目录'!B6</f>
        <v>76</v>
      </c>
      <c r="H666" t="s">
        <v>77</v>
      </c>
      <c r="I666">
        <v>10</v>
      </c>
      <c r="J666" s="4">
        <v>8</v>
      </c>
      <c r="K666" s="4">
        <f>I666*J666</f>
        <v>80</v>
      </c>
      <c r="L666" s="3">
        <v>0.5</v>
      </c>
      <c r="M666" s="4">
        <f>K666*L666</f>
        <v>40</v>
      </c>
      <c r="N666" s="4">
        <v>20</v>
      </c>
      <c r="O666" s="4">
        <f>K666-M666+N666</f>
        <v>60</v>
      </c>
      <c r="P666" t="s">
        <v>43</v>
      </c>
      <c r="Q666" t="b">
        <v>1</v>
      </c>
      <c r="R666" t="s">
        <v>55</v>
      </c>
      <c r="S666" t="s">
        <v>68</v>
      </c>
      <c r="T666" t="s">
        <v>69</v>
      </c>
      <c r="U666" t="s">
        <v>78</v>
      </c>
      <c r="V666" t="s">
        <v>63</v>
      </c>
      <c r="W666" t="s">
        <v>1392</v>
      </c>
      <c r="X666" t="s">
        <v>80</v>
      </c>
      <c r="Y666">
        <v>9007199254741652</v>
      </c>
      <c r="Z666">
        <v>0</v>
      </c>
      <c r="AA666" t="s">
        <v>63</v>
      </c>
      <c r="AB666" t="b">
        <v>1</v>
      </c>
      <c r="AD666" s="3">
        <v>0.125</v>
      </c>
      <c r="AE666" s="2">
        <v>45917.5</v>
      </c>
      <c r="AF666" t="s">
        <v>60</v>
      </c>
    </row>
    <row r="667">
      <c r="A667" t="s">
        <v>1393</v>
      </c>
      <c r="B667" s="2">
        <v>45916.5</v>
      </c>
      <c r="C667" t="s">
        <v>37</v>
      </c>
      <c r="D667" t="s">
        <f>'客户档案'!B3</f>
        <v>38</v>
      </c>
      <c r="E667" t="s">
        <v>39</v>
      </c>
      <c r="F667" t="s">
        <v>40</v>
      </c>
      <c r="G667" t="s">
        <f>'商品目录'!B3</f>
        <v>41</v>
      </c>
      <c r="H667" t="s">
        <v>42</v>
      </c>
      <c r="I667">
        <v>2</v>
      </c>
      <c r="J667" s="4">
        <v>99</v>
      </c>
      <c r="K667" s="4">
        <f>I667*J667</f>
        <v>198</v>
      </c>
      <c r="L667" s="3">
        <v>0</v>
      </c>
      <c r="M667" s="4">
        <f>K667*L667</f>
        <v>0</v>
      </c>
      <c r="N667" s="4">
        <v>0</v>
      </c>
      <c r="O667" s="4">
        <f>K667-M667+N667</f>
        <v>198</v>
      </c>
      <c r="P667" t="s">
        <v>43</v>
      </c>
      <c r="Q667" t="b">
        <v>0</v>
      </c>
      <c r="R667" t="s">
        <v>44</v>
      </c>
      <c r="S667" t="s">
        <v>45</v>
      </c>
      <c r="T667" t="s">
        <v>46</v>
      </c>
      <c r="U667" t="s">
        <v>39</v>
      </c>
      <c r="V667" t="s">
        <v>38</v>
      </c>
      <c r="W667" t="s">
        <v>1394</v>
      </c>
      <c r="X667" t="s">
        <v>0</v>
      </c>
      <c r="Y667">
        <v>9007199254741653</v>
      </c>
      <c r="Z667">
        <v>0</v>
      </c>
      <c r="AA667" t="s">
        <v>38</v>
      </c>
      <c r="AB667" t="b">
        <v>0</v>
      </c>
      <c r="AD667" s="3">
        <v>0.125</v>
      </c>
      <c r="AE667" s="2">
        <v>45918.5</v>
      </c>
      <c r="AF667" t="s">
        <v>60</v>
      </c>
    </row>
    <row r="668">
      <c r="A668" t="s">
        <v>1395</v>
      </c>
      <c r="B668" s="2">
        <v>45917.5</v>
      </c>
      <c r="C668" t="s">
        <v>49</v>
      </c>
      <c r="D668" t="s">
        <f>'客户档案'!B4</f>
        <v>50</v>
      </c>
      <c r="E668" t="s">
        <v>51</v>
      </c>
      <c r="F668" t="s">
        <v>52</v>
      </c>
      <c r="G668" t="s">
        <f>'商品目录'!B4</f>
        <v>53</v>
      </c>
      <c r="H668" t="s">
        <v>54</v>
      </c>
      <c r="I668">
        <v>4</v>
      </c>
      <c r="J668" s="4">
        <v>129</v>
      </c>
      <c r="K668" s="4">
        <f>I668*J668</f>
        <v>516</v>
      </c>
      <c r="L668" s="3">
        <v>0.5</v>
      </c>
      <c r="M668" s="4">
        <f>K668*L668</f>
        <v>258</v>
      </c>
      <c r="N668" s="4">
        <v>10</v>
      </c>
      <c r="O668" s="4">
        <f>K668-M668+N668</f>
        <v>268</v>
      </c>
      <c r="P668" t="s">
        <v>43</v>
      </c>
      <c r="Q668" t="b">
        <v>1</v>
      </c>
      <c r="R668" t="s">
        <v>55</v>
      </c>
      <c r="S668" t="s">
        <v>56</v>
      </c>
      <c r="T668" t="s">
        <v>57</v>
      </c>
      <c r="U668" t="s">
        <v>51</v>
      </c>
      <c r="V668" t="s">
        <v>50</v>
      </c>
      <c r="W668" t="s">
        <v>1396</v>
      </c>
      <c r="X668" t="s">
        <v>59</v>
      </c>
      <c r="Y668">
        <v>9007199254741654</v>
      </c>
      <c r="Z668">
        <v>0</v>
      </c>
      <c r="AA668" t="s">
        <v>50</v>
      </c>
      <c r="AB668" t="b">
        <v>1</v>
      </c>
      <c r="AD668" s="3">
        <v>0.125</v>
      </c>
      <c r="AE668" s="2">
        <v>45919.5</v>
      </c>
      <c r="AF668" t="s">
        <v>60</v>
      </c>
    </row>
    <row r="669">
      <c r="A669" t="s">
        <v>1397</v>
      </c>
      <c r="B669" s="2">
        <v>45918.5</v>
      </c>
      <c r="C669" t="s">
        <v>62</v>
      </c>
      <c r="D669" t="s">
        <f>'客户档案'!B5</f>
        <v>63</v>
      </c>
      <c r="E669" t="s">
        <v>64</v>
      </c>
      <c r="F669" t="s">
        <v>65</v>
      </c>
      <c r="G669" t="s">
        <f>'商品目录'!B5</f>
        <v>66</v>
      </c>
      <c r="H669" t="s">
        <v>67</v>
      </c>
      <c r="I669">
        <v>6</v>
      </c>
      <c r="J669" s="4">
        <v>45</v>
      </c>
      <c r="K669" s="4">
        <f>I669*J669</f>
        <v>270</v>
      </c>
      <c r="L669" s="3">
        <v>0</v>
      </c>
      <c r="M669" s="4">
        <f>K669*L669</f>
        <v>0</v>
      </c>
      <c r="N669" s="4">
        <v>20</v>
      </c>
      <c r="O669" s="4">
        <f>K669-M669+N669</f>
        <v>290</v>
      </c>
      <c r="P669" t="s">
        <v>43</v>
      </c>
      <c r="Q669" t="b">
        <v>1</v>
      </c>
      <c r="R669" t="s">
        <v>55</v>
      </c>
      <c r="S669" t="s">
        <v>68</v>
      </c>
      <c r="T669" t="s">
        <v>69</v>
      </c>
      <c r="U669" t="s">
        <v>70</v>
      </c>
      <c r="V669" t="s">
        <v>63</v>
      </c>
      <c r="W669" t="s">
        <v>1398</v>
      </c>
      <c r="X669" t="s">
        <v>72</v>
      </c>
      <c r="Y669">
        <v>9007199254741655</v>
      </c>
      <c r="Z669">
        <v>0</v>
      </c>
      <c r="AA669" t="s">
        <v>63</v>
      </c>
      <c r="AB669" t="b">
        <v>0</v>
      </c>
      <c r="AD669" s="3">
        <v>0.125</v>
      </c>
      <c r="AE669" s="2">
        <v>45920.5</v>
      </c>
      <c r="AF669" t="s">
        <v>60</v>
      </c>
    </row>
    <row r="670">
      <c r="A670" t="s">
        <v>1399</v>
      </c>
      <c r="B670" s="2">
        <v>45919.5</v>
      </c>
      <c r="C670" t="s">
        <v>37</v>
      </c>
      <c r="D670" t="s">
        <f>'客户档案'!B3</f>
        <v>38</v>
      </c>
      <c r="E670" t="s">
        <v>74</v>
      </c>
      <c r="F670" t="s">
        <v>75</v>
      </c>
      <c r="G670" t="s">
        <f>'商品目录'!B6</f>
        <v>76</v>
      </c>
      <c r="H670" t="s">
        <v>77</v>
      </c>
      <c r="I670">
        <v>8</v>
      </c>
      <c r="J670" s="4">
        <v>8</v>
      </c>
      <c r="K670" s="4">
        <f>I670*J670</f>
        <v>64</v>
      </c>
      <c r="L670" s="3">
        <v>0.5</v>
      </c>
      <c r="M670" s="4">
        <f>K670*L670</f>
        <v>32</v>
      </c>
      <c r="N670" s="4">
        <v>0</v>
      </c>
      <c r="O670" s="4">
        <f>K670-M670+N670</f>
        <v>32</v>
      </c>
      <c r="P670" t="s">
        <v>43</v>
      </c>
      <c r="Q670" t="b">
        <v>1</v>
      </c>
      <c r="R670" t="s">
        <v>55</v>
      </c>
      <c r="S670" t="s">
        <v>45</v>
      </c>
      <c r="T670" t="s">
        <v>46</v>
      </c>
      <c r="U670" t="s">
        <v>78</v>
      </c>
      <c r="V670" t="s">
        <v>38</v>
      </c>
      <c r="W670" t="s">
        <v>1400</v>
      </c>
      <c r="X670" t="s">
        <v>80</v>
      </c>
      <c r="Y670">
        <v>9007199254741656</v>
      </c>
      <c r="Z670">
        <v>2</v>
      </c>
      <c r="AA670" t="s">
        <v>38</v>
      </c>
      <c r="AB670" t="b">
        <v>1</v>
      </c>
      <c r="AD670" s="3">
        <v>0.125</v>
      </c>
      <c r="AE670" s="2">
        <v>45921.5</v>
      </c>
      <c r="AF670" t="s">
        <v>60</v>
      </c>
    </row>
    <row r="671">
      <c r="A671" t="s">
        <v>1401</v>
      </c>
      <c r="B671" s="2">
        <v>45920.5</v>
      </c>
      <c r="C671" t="s">
        <v>49</v>
      </c>
      <c r="D671" t="s">
        <f>'客户档案'!B4</f>
        <v>50</v>
      </c>
      <c r="E671" t="s">
        <v>39</v>
      </c>
      <c r="F671" t="s">
        <v>40</v>
      </c>
      <c r="G671" t="s">
        <f>'商品目录'!B3</f>
        <v>41</v>
      </c>
      <c r="H671" t="s">
        <v>42</v>
      </c>
      <c r="I671">
        <v>10</v>
      </c>
      <c r="J671" s="4">
        <v>99</v>
      </c>
      <c r="K671" s="4">
        <f>I671*J671</f>
        <v>990</v>
      </c>
      <c r="L671" s="3">
        <v>0</v>
      </c>
      <c r="M671" s="4">
        <f>K671*L671</f>
        <v>0</v>
      </c>
      <c r="N671" s="4">
        <v>10</v>
      </c>
      <c r="O671" s="4">
        <f>K671-M671+N671</f>
        <v>1000</v>
      </c>
      <c r="P671" t="s">
        <v>43</v>
      </c>
      <c r="Q671" t="b">
        <v>0</v>
      </c>
      <c r="R671" t="s">
        <v>44</v>
      </c>
      <c r="S671" t="s">
        <v>56</v>
      </c>
      <c r="T671" t="s">
        <v>57</v>
      </c>
      <c r="U671" t="s">
        <v>39</v>
      </c>
      <c r="V671" t="s">
        <v>50</v>
      </c>
      <c r="W671" t="s">
        <v>1402</v>
      </c>
      <c r="X671" t="s">
        <v>0</v>
      </c>
      <c r="Y671">
        <v>9007199254741657</v>
      </c>
      <c r="Z671">
        <v>0</v>
      </c>
      <c r="AA671" t="s">
        <v>50</v>
      </c>
      <c r="AB671" t="b">
        <v>0</v>
      </c>
      <c r="AD671" s="3">
        <v>0.125</v>
      </c>
      <c r="AE671" s="2">
        <v>45922.5</v>
      </c>
      <c r="AF671" t="s">
        <v>60</v>
      </c>
    </row>
    <row r="672">
      <c r="A672" t="s">
        <v>1403</v>
      </c>
      <c r="B672" s="2">
        <v>45921.5</v>
      </c>
      <c r="C672" t="s">
        <v>62</v>
      </c>
      <c r="D672" t="s">
        <f>'客户档案'!B5</f>
        <v>63</v>
      </c>
      <c r="E672" t="s">
        <v>51</v>
      </c>
      <c r="F672" t="s">
        <v>52</v>
      </c>
      <c r="G672" t="s">
        <f>'商品目录'!B4</f>
        <v>53</v>
      </c>
      <c r="H672" t="s">
        <v>54</v>
      </c>
      <c r="I672">
        <v>2</v>
      </c>
      <c r="J672" s="4">
        <v>129</v>
      </c>
      <c r="K672" s="4">
        <f>I672*J672</f>
        <v>258</v>
      </c>
      <c r="L672" s="3">
        <v>0.5</v>
      </c>
      <c r="M672" s="4">
        <f>K672*L672</f>
        <v>129</v>
      </c>
      <c r="N672" s="4">
        <v>20</v>
      </c>
      <c r="O672" s="4">
        <f>K672-M672+N672</f>
        <v>149</v>
      </c>
      <c r="P672" t="s">
        <v>43</v>
      </c>
      <c r="Q672" t="b">
        <v>1</v>
      </c>
      <c r="R672" t="s">
        <v>55</v>
      </c>
      <c r="S672" t="s">
        <v>68</v>
      </c>
      <c r="T672" t="s">
        <v>69</v>
      </c>
      <c r="U672" t="s">
        <v>51</v>
      </c>
      <c r="V672" t="s">
        <v>63</v>
      </c>
      <c r="W672" t="s">
        <v>1404</v>
      </c>
      <c r="X672" t="s">
        <v>59</v>
      </c>
      <c r="Y672">
        <v>9007199254741658</v>
      </c>
      <c r="Z672">
        <v>0</v>
      </c>
      <c r="AA672" t="s">
        <v>63</v>
      </c>
      <c r="AB672" t="b">
        <v>1</v>
      </c>
      <c r="AD672" s="3">
        <v>0.125</v>
      </c>
      <c r="AE672" s="2">
        <v>45923.5</v>
      </c>
      <c r="AF672" t="s">
        <v>60</v>
      </c>
    </row>
    <row r="673">
      <c r="A673" t="s">
        <v>1405</v>
      </c>
      <c r="B673" s="2">
        <v>45922.5</v>
      </c>
      <c r="C673" t="s">
        <v>37</v>
      </c>
      <c r="D673" t="s">
        <f>'客户档案'!B3</f>
        <v>38</v>
      </c>
      <c r="E673" t="s">
        <v>64</v>
      </c>
      <c r="F673" t="s">
        <v>65</v>
      </c>
      <c r="G673" t="s">
        <f>'商品目录'!B5</f>
        <v>66</v>
      </c>
      <c r="H673" t="s">
        <v>67</v>
      </c>
      <c r="I673">
        <v>4</v>
      </c>
      <c r="J673" s="4">
        <v>45</v>
      </c>
      <c r="K673" s="4">
        <f>I673*J673</f>
        <v>180</v>
      </c>
      <c r="L673" s="3">
        <v>0</v>
      </c>
      <c r="M673" s="4">
        <f>K673*L673</f>
        <v>0</v>
      </c>
      <c r="N673" s="4">
        <v>0</v>
      </c>
      <c r="O673" s="4">
        <f>K673-M673+N673</f>
        <v>180</v>
      </c>
      <c r="P673" t="s">
        <v>43</v>
      </c>
      <c r="Q673" t="b">
        <v>1</v>
      </c>
      <c r="R673" t="s">
        <v>55</v>
      </c>
      <c r="S673" t="s">
        <v>45</v>
      </c>
      <c r="T673" t="s">
        <v>46</v>
      </c>
      <c r="U673" t="s">
        <v>70</v>
      </c>
      <c r="V673" t="s">
        <v>38</v>
      </c>
      <c r="W673" t="s">
        <v>1406</v>
      </c>
      <c r="X673" t="s">
        <v>72</v>
      </c>
      <c r="Y673">
        <v>9007199254741659</v>
      </c>
      <c r="Z673">
        <v>0</v>
      </c>
      <c r="AA673" t="s">
        <v>38</v>
      </c>
      <c r="AB673" t="b">
        <v>0</v>
      </c>
      <c r="AD673" s="3">
        <v>0.125</v>
      </c>
      <c r="AE673" s="2">
        <v>45924.5</v>
      </c>
      <c r="AF673" t="s">
        <v>60</v>
      </c>
    </row>
    <row r="674">
      <c r="A674" t="s">
        <v>1407</v>
      </c>
      <c r="B674" s="2">
        <v>45923.5</v>
      </c>
      <c r="C674" t="s">
        <v>49</v>
      </c>
      <c r="D674" t="s">
        <f>'客户档案'!B4</f>
        <v>50</v>
      </c>
      <c r="E674" t="s">
        <v>74</v>
      </c>
      <c r="F674" t="s">
        <v>75</v>
      </c>
      <c r="G674" t="s">
        <f>'商品目录'!B6</f>
        <v>76</v>
      </c>
      <c r="H674" t="s">
        <v>77</v>
      </c>
      <c r="I674">
        <v>6</v>
      </c>
      <c r="J674" s="4">
        <v>8</v>
      </c>
      <c r="K674" s="4">
        <f>I674*J674</f>
        <v>48</v>
      </c>
      <c r="L674" s="3">
        <v>0.5</v>
      </c>
      <c r="M674" s="4">
        <f>K674*L674</f>
        <v>24</v>
      </c>
      <c r="N674" s="4">
        <v>10</v>
      </c>
      <c r="O674" s="4">
        <f>K674-M674+N674</f>
        <v>34</v>
      </c>
      <c r="P674" t="s">
        <v>43</v>
      </c>
      <c r="Q674" t="b">
        <v>1</v>
      </c>
      <c r="R674" t="s">
        <v>55</v>
      </c>
      <c r="S674" t="s">
        <v>56</v>
      </c>
      <c r="T674" t="s">
        <v>57</v>
      </c>
      <c r="U674" t="s">
        <v>78</v>
      </c>
      <c r="V674" t="s">
        <v>50</v>
      </c>
      <c r="W674" t="s">
        <v>1408</v>
      </c>
      <c r="X674" t="s">
        <v>80</v>
      </c>
      <c r="Y674">
        <v>9007199254741660</v>
      </c>
      <c r="Z674">
        <v>0</v>
      </c>
      <c r="AA674" t="s">
        <v>50</v>
      </c>
      <c r="AB674" t="b">
        <v>1</v>
      </c>
      <c r="AD674" s="3">
        <v>0.125</v>
      </c>
      <c r="AE674" s="2">
        <v>45925.5</v>
      </c>
      <c r="AF674" t="s">
        <v>60</v>
      </c>
    </row>
    <row r="675">
      <c r="A675" t="s">
        <v>1409</v>
      </c>
      <c r="B675" s="2">
        <v>45924.5</v>
      </c>
      <c r="C675" t="s">
        <v>62</v>
      </c>
      <c r="D675" t="s">
        <f>'客户档案'!B5</f>
        <v>63</v>
      </c>
      <c r="E675" t="s">
        <v>39</v>
      </c>
      <c r="F675" t="s">
        <v>40</v>
      </c>
      <c r="G675" t="s">
        <f>'商品目录'!B3</f>
        <v>41</v>
      </c>
      <c r="H675" t="s">
        <v>42</v>
      </c>
      <c r="I675">
        <v>8</v>
      </c>
      <c r="J675" s="4">
        <v>99</v>
      </c>
      <c r="K675" s="4">
        <f>I675*J675</f>
        <v>792</v>
      </c>
      <c r="L675" s="3">
        <v>0</v>
      </c>
      <c r="M675" s="4">
        <f>K675*L675</f>
        <v>0</v>
      </c>
      <c r="N675" s="4">
        <v>20</v>
      </c>
      <c r="O675" s="4">
        <f>K675-M675+N675</f>
        <v>812</v>
      </c>
      <c r="P675" t="s">
        <v>43</v>
      </c>
      <c r="Q675" t="b">
        <v>0</v>
      </c>
      <c r="R675" t="s">
        <v>44</v>
      </c>
      <c r="S675" t="s">
        <v>68</v>
      </c>
      <c r="T675" t="s">
        <v>69</v>
      </c>
      <c r="U675" t="s">
        <v>39</v>
      </c>
      <c r="V675" t="s">
        <v>63</v>
      </c>
      <c r="W675" t="s">
        <v>1410</v>
      </c>
      <c r="X675" t="s">
        <v>0</v>
      </c>
      <c r="Y675">
        <v>9007199254741661</v>
      </c>
      <c r="Z675">
        <v>0</v>
      </c>
      <c r="AA675" t="s">
        <v>63</v>
      </c>
      <c r="AB675" t="b">
        <v>0</v>
      </c>
      <c r="AD675" s="3">
        <v>0.125</v>
      </c>
      <c r="AE675" s="2">
        <v>45926.5</v>
      </c>
      <c r="AF675" t="s">
        <v>60</v>
      </c>
    </row>
    <row r="676">
      <c r="A676" t="s">
        <v>1411</v>
      </c>
      <c r="B676" s="2">
        <v>45925.5</v>
      </c>
      <c r="C676" t="s">
        <v>37</v>
      </c>
      <c r="D676" t="s">
        <f>'客户档案'!B3</f>
        <v>38</v>
      </c>
      <c r="E676" t="s">
        <v>51</v>
      </c>
      <c r="F676" t="s">
        <v>52</v>
      </c>
      <c r="G676" t="s">
        <f>'商品目录'!B4</f>
        <v>53</v>
      </c>
      <c r="H676" t="s">
        <v>54</v>
      </c>
      <c r="I676">
        <v>10</v>
      </c>
      <c r="J676" s="4">
        <v>129</v>
      </c>
      <c r="K676" s="4">
        <f>I676*J676</f>
        <v>1290</v>
      </c>
      <c r="L676" s="3">
        <v>0.5</v>
      </c>
      <c r="M676" s="4">
        <f>K676*L676</f>
        <v>645</v>
      </c>
      <c r="N676" s="4">
        <v>0</v>
      </c>
      <c r="O676" s="4">
        <f>K676-M676+N676</f>
        <v>645</v>
      </c>
      <c r="P676" t="s">
        <v>43</v>
      </c>
      <c r="Q676" t="b">
        <v>1</v>
      </c>
      <c r="R676" t="s">
        <v>55</v>
      </c>
      <c r="S676" t="s">
        <v>45</v>
      </c>
      <c r="T676" t="s">
        <v>46</v>
      </c>
      <c r="U676" t="s">
        <v>51</v>
      </c>
      <c r="V676" t="s">
        <v>38</v>
      </c>
      <c r="W676" t="s">
        <v>1412</v>
      </c>
      <c r="X676" t="s">
        <v>59</v>
      </c>
      <c r="Y676">
        <v>9007199254741662</v>
      </c>
      <c r="Z676">
        <v>0</v>
      </c>
      <c r="AA676" t="s">
        <v>38</v>
      </c>
      <c r="AB676" t="b">
        <v>1</v>
      </c>
      <c r="AD676" s="3">
        <v>0.125</v>
      </c>
      <c r="AE676" s="2">
        <v>45927.5</v>
      </c>
      <c r="AF676" t="s">
        <v>60</v>
      </c>
    </row>
    <row r="677">
      <c r="A677" t="s">
        <v>1413</v>
      </c>
      <c r="B677" s="2">
        <v>45926.5</v>
      </c>
      <c r="C677" t="s">
        <v>49</v>
      </c>
      <c r="D677" t="s">
        <f>'客户档案'!B4</f>
        <v>50</v>
      </c>
      <c r="E677" t="s">
        <v>64</v>
      </c>
      <c r="F677" t="s">
        <v>65</v>
      </c>
      <c r="G677" t="s">
        <f>'商品目录'!B5</f>
        <v>66</v>
      </c>
      <c r="H677" t="s">
        <v>67</v>
      </c>
      <c r="I677">
        <v>2</v>
      </c>
      <c r="J677" s="4">
        <v>45</v>
      </c>
      <c r="K677" s="4">
        <f>I677*J677</f>
        <v>90</v>
      </c>
      <c r="L677" s="3">
        <v>0</v>
      </c>
      <c r="M677" s="4">
        <f>K677*L677</f>
        <v>0</v>
      </c>
      <c r="N677" s="4">
        <v>10</v>
      </c>
      <c r="O677" s="4">
        <f>K677-M677+N677</f>
        <v>100</v>
      </c>
      <c r="P677" t="s">
        <v>43</v>
      </c>
      <c r="Q677" t="b">
        <v>1</v>
      </c>
      <c r="R677" t="s">
        <v>55</v>
      </c>
      <c r="S677" t="s">
        <v>56</v>
      </c>
      <c r="T677" t="s">
        <v>57</v>
      </c>
      <c r="U677" t="s">
        <v>70</v>
      </c>
      <c r="V677" t="s">
        <v>50</v>
      </c>
      <c r="W677" t="s">
        <v>1414</v>
      </c>
      <c r="X677" t="s">
        <v>72</v>
      </c>
      <c r="Y677">
        <v>9007199254741663</v>
      </c>
      <c r="Z677">
        <v>0</v>
      </c>
      <c r="AA677" t="s">
        <v>50</v>
      </c>
      <c r="AB677" t="b">
        <v>0</v>
      </c>
      <c r="AD677" s="3">
        <v>0.125</v>
      </c>
      <c r="AE677" s="2">
        <v>45928.5</v>
      </c>
      <c r="AF677" t="s">
        <v>60</v>
      </c>
    </row>
    <row r="678">
      <c r="A678" t="s">
        <v>1415</v>
      </c>
      <c r="B678" s="2">
        <v>45927.5</v>
      </c>
      <c r="C678" t="s">
        <v>62</v>
      </c>
      <c r="D678" t="s">
        <f>'客户档案'!B5</f>
        <v>63</v>
      </c>
      <c r="E678" t="s">
        <v>74</v>
      </c>
      <c r="F678" t="s">
        <v>75</v>
      </c>
      <c r="G678" t="s">
        <f>'商品目录'!B6</f>
        <v>76</v>
      </c>
      <c r="H678" t="s">
        <v>77</v>
      </c>
      <c r="I678">
        <v>4</v>
      </c>
      <c r="J678" s="4">
        <v>8</v>
      </c>
      <c r="K678" s="4">
        <f>I678*J678</f>
        <v>32</v>
      </c>
      <c r="L678" s="3">
        <v>0.5</v>
      </c>
      <c r="M678" s="4">
        <f>K678*L678</f>
        <v>16</v>
      </c>
      <c r="N678" s="4">
        <v>20</v>
      </c>
      <c r="O678" s="4">
        <f>K678-M678+N678</f>
        <v>36</v>
      </c>
      <c r="P678" t="s">
        <v>43</v>
      </c>
      <c r="Q678" t="b">
        <v>1</v>
      </c>
      <c r="R678" t="s">
        <v>55</v>
      </c>
      <c r="S678" t="s">
        <v>68</v>
      </c>
      <c r="T678" t="s">
        <v>69</v>
      </c>
      <c r="U678" t="s">
        <v>78</v>
      </c>
      <c r="V678" t="s">
        <v>63</v>
      </c>
      <c r="W678" t="s">
        <v>1416</v>
      </c>
      <c r="X678" t="s">
        <v>80</v>
      </c>
      <c r="Y678">
        <v>9007199254741664</v>
      </c>
      <c r="Z678">
        <v>0</v>
      </c>
      <c r="AA678" t="s">
        <v>63</v>
      </c>
      <c r="AB678" t="b">
        <v>1</v>
      </c>
      <c r="AD678" s="3">
        <v>0.125</v>
      </c>
      <c r="AE678" s="2">
        <v>45929.5</v>
      </c>
      <c r="AF678" t="s">
        <v>60</v>
      </c>
    </row>
    <row r="679">
      <c r="A679" t="s">
        <v>1417</v>
      </c>
      <c r="B679" s="2">
        <v>45900.5</v>
      </c>
      <c r="C679" t="s">
        <v>37</v>
      </c>
      <c r="D679" t="s">
        <f>'客户档案'!B3</f>
        <v>38</v>
      </c>
      <c r="E679" t="s">
        <v>39</v>
      </c>
      <c r="F679" t="s">
        <v>40</v>
      </c>
      <c r="G679" t="s">
        <f>'商品目录'!B3</f>
        <v>41</v>
      </c>
      <c r="H679" t="s">
        <v>42</v>
      </c>
      <c r="I679">
        <v>6</v>
      </c>
      <c r="J679" s="4">
        <v>99</v>
      </c>
      <c r="K679" s="4">
        <f>I679*J679</f>
        <v>594</v>
      </c>
      <c r="L679" s="3">
        <v>0</v>
      </c>
      <c r="M679" s="4">
        <f>K679*L679</f>
        <v>0</v>
      </c>
      <c r="N679" s="4">
        <v>0</v>
      </c>
      <c r="O679" s="4">
        <f>K679-M679+N679</f>
        <v>594</v>
      </c>
      <c r="P679" t="s">
        <v>43</v>
      </c>
      <c r="Q679" t="b">
        <v>0</v>
      </c>
      <c r="R679" t="s">
        <v>44</v>
      </c>
      <c r="S679" t="s">
        <v>45</v>
      </c>
      <c r="T679" t="s">
        <v>46</v>
      </c>
      <c r="U679" t="s">
        <v>39</v>
      </c>
      <c r="V679" t="s">
        <v>38</v>
      </c>
      <c r="W679" t="s">
        <v>1418</v>
      </c>
      <c r="X679" t="s">
        <v>0</v>
      </c>
      <c r="Y679">
        <v>9007199254741665</v>
      </c>
      <c r="Z679">
        <v>0</v>
      </c>
      <c r="AA679" t="s">
        <v>38</v>
      </c>
      <c r="AB679" t="b">
        <v>0</v>
      </c>
      <c r="AD679" s="3">
        <v>0.125</v>
      </c>
      <c r="AE679" s="2">
        <v>45902.5</v>
      </c>
      <c r="AF679" t="s">
        <v>60</v>
      </c>
    </row>
    <row r="680">
      <c r="A680" t="s">
        <v>1419</v>
      </c>
      <c r="B680" s="2">
        <v>45901.5</v>
      </c>
      <c r="C680" t="s">
        <v>49</v>
      </c>
      <c r="D680" t="s">
        <f>'客户档案'!B4</f>
        <v>50</v>
      </c>
      <c r="E680" t="s">
        <v>51</v>
      </c>
      <c r="F680" t="s">
        <v>52</v>
      </c>
      <c r="G680" t="s">
        <f>'商品目录'!B4</f>
        <v>53</v>
      </c>
      <c r="H680" t="s">
        <v>54</v>
      </c>
      <c r="I680">
        <v>8</v>
      </c>
      <c r="J680" s="4">
        <v>129</v>
      </c>
      <c r="K680" s="4">
        <f>I680*J680</f>
        <v>1032</v>
      </c>
      <c r="L680" s="3">
        <v>0.5</v>
      </c>
      <c r="M680" s="4">
        <f>K680*L680</f>
        <v>516</v>
      </c>
      <c r="N680" s="4">
        <v>10</v>
      </c>
      <c r="O680" s="4">
        <f>K680-M680+N680</f>
        <v>526</v>
      </c>
      <c r="P680" t="s">
        <v>43</v>
      </c>
      <c r="Q680" t="b">
        <v>1</v>
      </c>
      <c r="R680" t="s">
        <v>55</v>
      </c>
      <c r="S680" t="s">
        <v>56</v>
      </c>
      <c r="T680" t="s">
        <v>57</v>
      </c>
      <c r="U680" t="s">
        <v>51</v>
      </c>
      <c r="V680" t="s">
        <v>50</v>
      </c>
      <c r="W680" t="s">
        <v>1420</v>
      </c>
      <c r="X680" t="s">
        <v>59</v>
      </c>
      <c r="Y680">
        <v>9007199254741666</v>
      </c>
      <c r="Z680">
        <v>0</v>
      </c>
      <c r="AA680" t="s">
        <v>50</v>
      </c>
      <c r="AB680" t="b">
        <v>1</v>
      </c>
      <c r="AD680" s="3">
        <v>0.125</v>
      </c>
      <c r="AE680" s="2">
        <v>45903.5</v>
      </c>
      <c r="AF680" t="s">
        <v>60</v>
      </c>
    </row>
    <row r="681">
      <c r="A681" t="s">
        <v>1421</v>
      </c>
      <c r="B681" s="2">
        <v>45902.5</v>
      </c>
      <c r="C681" t="s">
        <v>62</v>
      </c>
      <c r="D681" t="s">
        <f>'客户档案'!B5</f>
        <v>63</v>
      </c>
      <c r="E681" t="s">
        <v>64</v>
      </c>
      <c r="F681" t="s">
        <v>65</v>
      </c>
      <c r="G681" t="s">
        <f>'商品目录'!B5</f>
        <v>66</v>
      </c>
      <c r="H681" t="s">
        <v>67</v>
      </c>
      <c r="I681">
        <v>10</v>
      </c>
      <c r="J681" s="4">
        <v>45</v>
      </c>
      <c r="K681" s="4">
        <f>I681*J681</f>
        <v>450</v>
      </c>
      <c r="L681" s="3">
        <v>0</v>
      </c>
      <c r="M681" s="4">
        <f>K681*L681</f>
        <v>0</v>
      </c>
      <c r="N681" s="4">
        <v>20</v>
      </c>
      <c r="O681" s="4">
        <f>K681-M681+N681</f>
        <v>470</v>
      </c>
      <c r="P681" t="s">
        <v>43</v>
      </c>
      <c r="Q681" t="b">
        <v>1</v>
      </c>
      <c r="R681" t="s">
        <v>55</v>
      </c>
      <c r="S681" t="s">
        <v>68</v>
      </c>
      <c r="T681" t="s">
        <v>69</v>
      </c>
      <c r="U681" t="s">
        <v>70</v>
      </c>
      <c r="V681" t="s">
        <v>63</v>
      </c>
      <c r="W681" t="s">
        <v>1422</v>
      </c>
      <c r="X681" t="s">
        <v>72</v>
      </c>
      <c r="Y681">
        <v>9007199254741667</v>
      </c>
      <c r="Z681">
        <v>0</v>
      </c>
      <c r="AA681" t="s">
        <v>63</v>
      </c>
      <c r="AB681" t="b">
        <v>0</v>
      </c>
      <c r="AD681" s="3">
        <v>0.125</v>
      </c>
      <c r="AE681" s="2">
        <v>45904.5</v>
      </c>
      <c r="AF681" t="s">
        <v>60</v>
      </c>
    </row>
    <row r="682">
      <c r="A682" t="s">
        <v>1423</v>
      </c>
      <c r="B682" s="2">
        <v>45903.5</v>
      </c>
      <c r="C682" t="s">
        <v>37</v>
      </c>
      <c r="D682" t="s">
        <f>'客户档案'!B3</f>
        <v>38</v>
      </c>
      <c r="E682" t="s">
        <v>74</v>
      </c>
      <c r="F682" t="s">
        <v>75</v>
      </c>
      <c r="G682" t="s">
        <f>'商品目录'!B6</f>
        <v>76</v>
      </c>
      <c r="H682" t="s">
        <v>77</v>
      </c>
      <c r="I682">
        <v>2</v>
      </c>
      <c r="J682" s="4">
        <v>8</v>
      </c>
      <c r="K682" s="4">
        <f>I682*J682</f>
        <v>16</v>
      </c>
      <c r="L682" s="3">
        <v>0.5</v>
      </c>
      <c r="M682" s="4">
        <f>K682*L682</f>
        <v>8</v>
      </c>
      <c r="N682" s="4">
        <v>0</v>
      </c>
      <c r="O682" s="4">
        <f>K682-M682+N682</f>
        <v>8</v>
      </c>
      <c r="P682" t="s">
        <v>43</v>
      </c>
      <c r="Q682" t="b">
        <v>1</v>
      </c>
      <c r="R682" t="s">
        <v>55</v>
      </c>
      <c r="S682" t="s">
        <v>45</v>
      </c>
      <c r="T682" t="s">
        <v>46</v>
      </c>
      <c r="U682" t="s">
        <v>78</v>
      </c>
      <c r="V682" t="s">
        <v>38</v>
      </c>
      <c r="W682" t="s">
        <v>1424</v>
      </c>
      <c r="X682" t="s">
        <v>80</v>
      </c>
      <c r="Y682">
        <v>9007199254741668</v>
      </c>
      <c r="Z682">
        <v>0</v>
      </c>
      <c r="AA682" t="s">
        <v>38</v>
      </c>
      <c r="AB682" t="b">
        <v>1</v>
      </c>
      <c r="AD682" s="3">
        <v>0.125</v>
      </c>
      <c r="AE682" s="2">
        <v>45905.5</v>
      </c>
      <c r="AF682" t="s">
        <v>60</v>
      </c>
    </row>
    <row r="683">
      <c r="A683" t="s">
        <v>1425</v>
      </c>
      <c r="B683" s="2">
        <v>45904.5</v>
      </c>
      <c r="C683" t="s">
        <v>49</v>
      </c>
      <c r="D683" t="s">
        <f>'客户档案'!B4</f>
        <v>50</v>
      </c>
      <c r="E683" t="s">
        <v>39</v>
      </c>
      <c r="F683" t="s">
        <v>40</v>
      </c>
      <c r="G683" t="s">
        <f>'商品目录'!B3</f>
        <v>41</v>
      </c>
      <c r="H683" t="s">
        <v>42</v>
      </c>
      <c r="I683">
        <v>4</v>
      </c>
      <c r="J683" s="4">
        <v>99</v>
      </c>
      <c r="K683" s="4">
        <f>I683*J683</f>
        <v>396</v>
      </c>
      <c r="L683" s="3">
        <v>0</v>
      </c>
      <c r="M683" s="4">
        <f>K683*L683</f>
        <v>0</v>
      </c>
      <c r="N683" s="4">
        <v>10</v>
      </c>
      <c r="O683" s="4">
        <f>K683-M683+N683</f>
        <v>406</v>
      </c>
      <c r="P683" t="s">
        <v>43</v>
      </c>
      <c r="Q683" t="b">
        <v>0</v>
      </c>
      <c r="R683" t="s">
        <v>44</v>
      </c>
      <c r="S683" t="s">
        <v>56</v>
      </c>
      <c r="T683" t="s">
        <v>57</v>
      </c>
      <c r="U683" t="s">
        <v>39</v>
      </c>
      <c r="V683" t="s">
        <v>50</v>
      </c>
      <c r="W683" t="s">
        <v>1426</v>
      </c>
      <c r="X683" t="s">
        <v>0</v>
      </c>
      <c r="Y683">
        <v>9007199254741669</v>
      </c>
      <c r="Z683">
        <v>0</v>
      </c>
      <c r="AA683" t="s">
        <v>50</v>
      </c>
      <c r="AB683" t="b">
        <v>0</v>
      </c>
      <c r="AD683" s="3">
        <v>0.125</v>
      </c>
      <c r="AE683" s="2">
        <v>45906.5</v>
      </c>
      <c r="AF683" t="s">
        <v>60</v>
      </c>
    </row>
    <row r="684">
      <c r="A684" t="s">
        <v>1427</v>
      </c>
      <c r="B684" s="2">
        <v>45905.5</v>
      </c>
      <c r="C684" t="s">
        <v>62</v>
      </c>
      <c r="D684" t="s">
        <f>'客户档案'!B5</f>
        <v>63</v>
      </c>
      <c r="E684" t="s">
        <v>51</v>
      </c>
      <c r="F684" t="s">
        <v>52</v>
      </c>
      <c r="G684" t="s">
        <f>'商品目录'!B4</f>
        <v>53</v>
      </c>
      <c r="H684" t="s">
        <v>54</v>
      </c>
      <c r="I684">
        <v>6</v>
      </c>
      <c r="J684" s="4">
        <v>129</v>
      </c>
      <c r="K684" s="4">
        <f>I684*J684</f>
        <v>774</v>
      </c>
      <c r="L684" s="3">
        <v>0.5</v>
      </c>
      <c r="M684" s="4">
        <f>K684*L684</f>
        <v>387</v>
      </c>
      <c r="N684" s="4">
        <v>20</v>
      </c>
      <c r="O684" s="4">
        <f>K684-M684+N684</f>
        <v>407</v>
      </c>
      <c r="P684" t="s">
        <v>43</v>
      </c>
      <c r="Q684" t="b">
        <v>1</v>
      </c>
      <c r="R684" t="s">
        <v>55</v>
      </c>
      <c r="S684" t="s">
        <v>68</v>
      </c>
      <c r="T684" t="s">
        <v>69</v>
      </c>
      <c r="U684" t="s">
        <v>51</v>
      </c>
      <c r="V684" t="s">
        <v>63</v>
      </c>
      <c r="W684" t="s">
        <v>1428</v>
      </c>
      <c r="X684" t="s">
        <v>59</v>
      </c>
      <c r="Y684">
        <v>9007199254741670</v>
      </c>
      <c r="Z684">
        <v>0</v>
      </c>
      <c r="AA684" t="s">
        <v>63</v>
      </c>
      <c r="AB684" t="b">
        <v>1</v>
      </c>
      <c r="AD684" s="3">
        <v>0.125</v>
      </c>
      <c r="AE684" s="2">
        <v>45907.5</v>
      </c>
      <c r="AF684" t="s">
        <v>60</v>
      </c>
    </row>
    <row r="685">
      <c r="A685" t="s">
        <v>1429</v>
      </c>
      <c r="B685" s="2">
        <v>45906.5</v>
      </c>
      <c r="C685" t="s">
        <v>37</v>
      </c>
      <c r="D685" t="s">
        <f>'客户档案'!B3</f>
        <v>38</v>
      </c>
      <c r="E685" t="s">
        <v>64</v>
      </c>
      <c r="F685" t="s">
        <v>65</v>
      </c>
      <c r="G685" t="s">
        <f>'商品目录'!B5</f>
        <v>66</v>
      </c>
      <c r="H685" t="s">
        <v>67</v>
      </c>
      <c r="I685">
        <v>8</v>
      </c>
      <c r="J685" s="4">
        <v>45</v>
      </c>
      <c r="K685" s="4">
        <f>I685*J685</f>
        <v>360</v>
      </c>
      <c r="L685" s="3">
        <v>0</v>
      </c>
      <c r="M685" s="4">
        <f>K685*L685</f>
        <v>0</v>
      </c>
      <c r="N685" s="4">
        <v>0</v>
      </c>
      <c r="O685" s="4">
        <f>K685-M685+N685</f>
        <v>360</v>
      </c>
      <c r="P685" t="s">
        <v>43</v>
      </c>
      <c r="Q685" t="b">
        <v>1</v>
      </c>
      <c r="R685" t="s">
        <v>55</v>
      </c>
      <c r="S685" t="s">
        <v>45</v>
      </c>
      <c r="T685" t="s">
        <v>46</v>
      </c>
      <c r="U685" t="s">
        <v>70</v>
      </c>
      <c r="V685" t="s">
        <v>38</v>
      </c>
      <c r="W685" t="s">
        <v>1430</v>
      </c>
      <c r="X685" t="s">
        <v>72</v>
      </c>
      <c r="Y685">
        <v>9007199254741671</v>
      </c>
      <c r="Z685">
        <v>0</v>
      </c>
      <c r="AA685" t="s">
        <v>38</v>
      </c>
      <c r="AB685" t="b">
        <v>0</v>
      </c>
      <c r="AD685" s="3">
        <v>0.125</v>
      </c>
      <c r="AE685" s="2">
        <v>45908.5</v>
      </c>
      <c r="AF685" t="s">
        <v>60</v>
      </c>
    </row>
    <row r="686">
      <c r="A686" t="s">
        <v>1431</v>
      </c>
      <c r="B686" s="2">
        <v>45907.5</v>
      </c>
      <c r="C686" t="s">
        <v>49</v>
      </c>
      <c r="D686" t="s">
        <f>'客户档案'!B4</f>
        <v>50</v>
      </c>
      <c r="E686" t="s">
        <v>74</v>
      </c>
      <c r="F686" t="s">
        <v>75</v>
      </c>
      <c r="G686" t="s">
        <f>'商品目录'!B6</f>
        <v>76</v>
      </c>
      <c r="H686" t="s">
        <v>77</v>
      </c>
      <c r="I686">
        <v>10</v>
      </c>
      <c r="J686" s="4">
        <v>8</v>
      </c>
      <c r="K686" s="4">
        <f>I686*J686</f>
        <v>80</v>
      </c>
      <c r="L686" s="3">
        <v>0.5</v>
      </c>
      <c r="M686" s="4">
        <f>K686*L686</f>
        <v>40</v>
      </c>
      <c r="N686" s="4">
        <v>10</v>
      </c>
      <c r="O686" s="4">
        <f>K686-M686+N686</f>
        <v>50</v>
      </c>
      <c r="P686" t="s">
        <v>43</v>
      </c>
      <c r="Q686" t="b">
        <v>1</v>
      </c>
      <c r="R686" t="s">
        <v>55</v>
      </c>
      <c r="S686" t="s">
        <v>56</v>
      </c>
      <c r="T686" t="s">
        <v>57</v>
      </c>
      <c r="U686" t="s">
        <v>78</v>
      </c>
      <c r="V686" t="s">
        <v>50</v>
      </c>
      <c r="W686" t="s">
        <v>1432</v>
      </c>
      <c r="X686" t="s">
        <v>80</v>
      </c>
      <c r="Y686">
        <v>9007199254741672</v>
      </c>
      <c r="Z686">
        <v>0</v>
      </c>
      <c r="AA686" t="s">
        <v>50</v>
      </c>
      <c r="AB686" t="b">
        <v>1</v>
      </c>
      <c r="AD686" s="3">
        <v>0.125</v>
      </c>
      <c r="AE686" s="2">
        <v>45909.5</v>
      </c>
      <c r="AF686" t="s">
        <v>60</v>
      </c>
    </row>
    <row r="687">
      <c r="A687" t="s">
        <v>1433</v>
      </c>
      <c r="B687" s="2">
        <v>45908.5</v>
      </c>
      <c r="C687" t="s">
        <v>62</v>
      </c>
      <c r="D687" t="s">
        <f>'客户档案'!B5</f>
        <v>63</v>
      </c>
      <c r="E687" t="s">
        <v>39</v>
      </c>
      <c r="F687" t="s">
        <v>40</v>
      </c>
      <c r="G687" t="s">
        <f>'商品目录'!B3</f>
        <v>41</v>
      </c>
      <c r="H687" t="s">
        <v>42</v>
      </c>
      <c r="I687">
        <v>2</v>
      </c>
      <c r="J687" s="4">
        <v>99</v>
      </c>
      <c r="K687" s="4">
        <f>I687*J687</f>
        <v>198</v>
      </c>
      <c r="L687" s="3">
        <v>0</v>
      </c>
      <c r="M687" s="4">
        <f>K687*L687</f>
        <v>0</v>
      </c>
      <c r="N687" s="4">
        <v>20</v>
      </c>
      <c r="O687" s="4">
        <f>K687-M687+N687</f>
        <v>218</v>
      </c>
      <c r="P687" t="s">
        <v>43</v>
      </c>
      <c r="Q687" t="b">
        <v>0</v>
      </c>
      <c r="R687" t="s">
        <v>44</v>
      </c>
      <c r="S687" t="s">
        <v>68</v>
      </c>
      <c r="T687" t="s">
        <v>69</v>
      </c>
      <c r="U687" t="s">
        <v>39</v>
      </c>
      <c r="V687" t="s">
        <v>63</v>
      </c>
      <c r="W687" t="s">
        <v>1434</v>
      </c>
      <c r="X687" t="s">
        <v>0</v>
      </c>
      <c r="Y687">
        <v>9007199254741673</v>
      </c>
      <c r="Z687">
        <v>2</v>
      </c>
      <c r="AA687" t="s">
        <v>63</v>
      </c>
      <c r="AB687" t="b">
        <v>0</v>
      </c>
      <c r="AD687" s="3">
        <v>0.125</v>
      </c>
      <c r="AE687" s="2">
        <v>45910.5</v>
      </c>
      <c r="AF687" t="s">
        <v>60</v>
      </c>
    </row>
    <row r="688">
      <c r="A688" t="s">
        <v>1435</v>
      </c>
      <c r="B688" s="2">
        <v>45909.5</v>
      </c>
      <c r="C688" t="s">
        <v>37</v>
      </c>
      <c r="D688" t="s">
        <f>'客户档案'!B3</f>
        <v>38</v>
      </c>
      <c r="E688" t="s">
        <v>51</v>
      </c>
      <c r="F688" t="s">
        <v>52</v>
      </c>
      <c r="G688" t="s">
        <f>'商品目录'!B4</f>
        <v>53</v>
      </c>
      <c r="H688" t="s">
        <v>54</v>
      </c>
      <c r="I688">
        <v>4</v>
      </c>
      <c r="J688" s="4">
        <v>129</v>
      </c>
      <c r="K688" s="4">
        <f>I688*J688</f>
        <v>516</v>
      </c>
      <c r="L688" s="3">
        <v>0.5</v>
      </c>
      <c r="M688" s="4">
        <f>K688*L688</f>
        <v>258</v>
      </c>
      <c r="N688" s="4">
        <v>0</v>
      </c>
      <c r="O688" s="4">
        <f>K688-M688+N688</f>
        <v>258</v>
      </c>
      <c r="P688" t="s">
        <v>43</v>
      </c>
      <c r="Q688" t="b">
        <v>1</v>
      </c>
      <c r="R688" t="s">
        <v>55</v>
      </c>
      <c r="S688" t="s">
        <v>45</v>
      </c>
      <c r="T688" t="s">
        <v>46</v>
      </c>
      <c r="U688" t="s">
        <v>51</v>
      </c>
      <c r="V688" t="s">
        <v>38</v>
      </c>
      <c r="W688" t="s">
        <v>1436</v>
      </c>
      <c r="X688" t="s">
        <v>59</v>
      </c>
      <c r="Y688">
        <v>9007199254741674</v>
      </c>
      <c r="Z688">
        <v>0</v>
      </c>
      <c r="AA688" t="s">
        <v>38</v>
      </c>
      <c r="AB688" t="b">
        <v>1</v>
      </c>
      <c r="AD688" s="3">
        <v>0.125</v>
      </c>
      <c r="AE688" s="2">
        <v>45911.5</v>
      </c>
      <c r="AF688" t="s">
        <v>60</v>
      </c>
    </row>
    <row r="689">
      <c r="A689" t="s">
        <v>1437</v>
      </c>
      <c r="B689" s="2">
        <v>45910.5</v>
      </c>
      <c r="C689" t="s">
        <v>49</v>
      </c>
      <c r="D689" t="s">
        <f>'客户档案'!B4</f>
        <v>50</v>
      </c>
      <c r="E689" t="s">
        <v>64</v>
      </c>
      <c r="F689" t="s">
        <v>65</v>
      </c>
      <c r="G689" t="s">
        <f>'商品目录'!B5</f>
        <v>66</v>
      </c>
      <c r="H689" t="s">
        <v>67</v>
      </c>
      <c r="I689">
        <v>6</v>
      </c>
      <c r="J689" s="4">
        <v>45</v>
      </c>
      <c r="K689" s="4">
        <f>I689*J689</f>
        <v>270</v>
      </c>
      <c r="L689" s="3">
        <v>0</v>
      </c>
      <c r="M689" s="4">
        <f>K689*L689</f>
        <v>0</v>
      </c>
      <c r="N689" s="4">
        <v>10</v>
      </c>
      <c r="O689" s="4">
        <f>K689-M689+N689</f>
        <v>280</v>
      </c>
      <c r="P689" t="s">
        <v>43</v>
      </c>
      <c r="Q689" t="b">
        <v>1</v>
      </c>
      <c r="R689" t="s">
        <v>55</v>
      </c>
      <c r="S689" t="s">
        <v>56</v>
      </c>
      <c r="T689" t="s">
        <v>57</v>
      </c>
      <c r="U689" t="s">
        <v>70</v>
      </c>
      <c r="V689" t="s">
        <v>50</v>
      </c>
      <c r="W689" t="s">
        <v>1438</v>
      </c>
      <c r="X689" t="s">
        <v>72</v>
      </c>
      <c r="Y689">
        <v>9007199254741675</v>
      </c>
      <c r="Z689">
        <v>0</v>
      </c>
      <c r="AA689" t="s">
        <v>50</v>
      </c>
      <c r="AB689" t="b">
        <v>0</v>
      </c>
      <c r="AD689" s="3">
        <v>0.125</v>
      </c>
      <c r="AE689" s="2">
        <v>45912.5</v>
      </c>
      <c r="AF689" t="s">
        <v>60</v>
      </c>
    </row>
    <row r="690">
      <c r="A690" t="s">
        <v>1439</v>
      </c>
      <c r="B690" s="2">
        <v>45911.5</v>
      </c>
      <c r="C690" t="s">
        <v>62</v>
      </c>
      <c r="D690" t="s">
        <f>'客户档案'!B5</f>
        <v>63</v>
      </c>
      <c r="E690" t="s">
        <v>74</v>
      </c>
      <c r="F690" t="s">
        <v>75</v>
      </c>
      <c r="G690" t="s">
        <f>'商品目录'!B6</f>
        <v>76</v>
      </c>
      <c r="H690" t="s">
        <v>77</v>
      </c>
      <c r="I690">
        <v>8</v>
      </c>
      <c r="J690" s="4">
        <v>8</v>
      </c>
      <c r="K690" s="4">
        <f>I690*J690</f>
        <v>64</v>
      </c>
      <c r="L690" s="3">
        <v>0.5</v>
      </c>
      <c r="M690" s="4">
        <f>K690*L690</f>
        <v>32</v>
      </c>
      <c r="N690" s="4">
        <v>20</v>
      </c>
      <c r="O690" s="4">
        <f>K690-M690+N690</f>
        <v>52</v>
      </c>
      <c r="P690" t="s">
        <v>43</v>
      </c>
      <c r="Q690" t="b">
        <v>1</v>
      </c>
      <c r="R690" t="s">
        <v>55</v>
      </c>
      <c r="S690" t="s">
        <v>68</v>
      </c>
      <c r="T690" t="s">
        <v>69</v>
      </c>
      <c r="U690" t="s">
        <v>78</v>
      </c>
      <c r="V690" t="s">
        <v>63</v>
      </c>
      <c r="W690" t="s">
        <v>1440</v>
      </c>
      <c r="X690" t="s">
        <v>80</v>
      </c>
      <c r="Y690">
        <v>9007199254741676</v>
      </c>
      <c r="Z690">
        <v>0</v>
      </c>
      <c r="AA690" t="s">
        <v>63</v>
      </c>
      <c r="AB690" t="b">
        <v>1</v>
      </c>
      <c r="AD690" s="3">
        <v>0.125</v>
      </c>
      <c r="AE690" s="2">
        <v>45913.5</v>
      </c>
      <c r="AF690" t="s">
        <v>60</v>
      </c>
    </row>
    <row r="691">
      <c r="A691" t="s">
        <v>1441</v>
      </c>
      <c r="B691" s="2">
        <v>45912.5</v>
      </c>
      <c r="C691" t="s">
        <v>37</v>
      </c>
      <c r="D691" t="s">
        <f>'客户档案'!B3</f>
        <v>38</v>
      </c>
      <c r="E691" t="s">
        <v>39</v>
      </c>
      <c r="F691" t="s">
        <v>40</v>
      </c>
      <c r="G691" t="s">
        <f>'商品目录'!B3</f>
        <v>41</v>
      </c>
      <c r="H691" t="s">
        <v>42</v>
      </c>
      <c r="I691">
        <v>10</v>
      </c>
      <c r="J691" s="4">
        <v>99</v>
      </c>
      <c r="K691" s="4">
        <f>I691*J691</f>
        <v>990</v>
      </c>
      <c r="L691" s="3">
        <v>0</v>
      </c>
      <c r="M691" s="4">
        <f>K691*L691</f>
        <v>0</v>
      </c>
      <c r="N691" s="4">
        <v>0</v>
      </c>
      <c r="O691" s="4">
        <f>K691-M691+N691</f>
        <v>990</v>
      </c>
      <c r="P691" t="s">
        <v>43</v>
      </c>
      <c r="Q691" t="b">
        <v>0</v>
      </c>
      <c r="R691" t="s">
        <v>44</v>
      </c>
      <c r="S691" t="s">
        <v>45</v>
      </c>
      <c r="T691" t="s">
        <v>46</v>
      </c>
      <c r="U691" t="s">
        <v>39</v>
      </c>
      <c r="V691" t="s">
        <v>38</v>
      </c>
      <c r="W691" t="s">
        <v>1442</v>
      </c>
      <c r="X691" t="s">
        <v>0</v>
      </c>
      <c r="Y691">
        <v>9007199254741677</v>
      </c>
      <c r="Z691">
        <v>0</v>
      </c>
      <c r="AA691" t="s">
        <v>38</v>
      </c>
      <c r="AB691" t="b">
        <v>0</v>
      </c>
      <c r="AD691" s="3">
        <v>0.125</v>
      </c>
      <c r="AE691" s="2">
        <v>45914.5</v>
      </c>
      <c r="AF691" t="s">
        <v>60</v>
      </c>
    </row>
    <row r="692">
      <c r="A692" t="s">
        <v>1443</v>
      </c>
      <c r="B692" s="2">
        <v>45913.5</v>
      </c>
      <c r="C692" t="s">
        <v>49</v>
      </c>
      <c r="D692" t="s">
        <f>'客户档案'!B4</f>
        <v>50</v>
      </c>
      <c r="E692" t="s">
        <v>51</v>
      </c>
      <c r="F692" t="s">
        <v>52</v>
      </c>
      <c r="G692" t="s">
        <f>'商品目录'!B4</f>
        <v>53</v>
      </c>
      <c r="H692" t="s">
        <v>54</v>
      </c>
      <c r="I692">
        <v>2</v>
      </c>
      <c r="J692" s="4">
        <v>129</v>
      </c>
      <c r="K692" s="4">
        <f>I692*J692</f>
        <v>258</v>
      </c>
      <c r="L692" s="3">
        <v>0.5</v>
      </c>
      <c r="M692" s="4">
        <f>K692*L692</f>
        <v>129</v>
      </c>
      <c r="N692" s="4">
        <v>10</v>
      </c>
      <c r="O692" s="4">
        <f>K692-M692+N692</f>
        <v>139</v>
      </c>
      <c r="P692" t="s">
        <v>43</v>
      </c>
      <c r="Q692" t="b">
        <v>1</v>
      </c>
      <c r="R692" t="s">
        <v>55</v>
      </c>
      <c r="S692" t="s">
        <v>56</v>
      </c>
      <c r="T692" t="s">
        <v>57</v>
      </c>
      <c r="U692" t="s">
        <v>51</v>
      </c>
      <c r="V692" t="s">
        <v>50</v>
      </c>
      <c r="W692" t="s">
        <v>1444</v>
      </c>
      <c r="X692" t="s">
        <v>59</v>
      </c>
      <c r="Y692">
        <v>9007199254741678</v>
      </c>
      <c r="Z692">
        <v>0</v>
      </c>
      <c r="AA692" t="s">
        <v>50</v>
      </c>
      <c r="AB692" t="b">
        <v>1</v>
      </c>
      <c r="AD692" s="3">
        <v>0.125</v>
      </c>
      <c r="AE692" s="2">
        <v>45915.5</v>
      </c>
      <c r="AF692" t="s">
        <v>60</v>
      </c>
    </row>
    <row r="693">
      <c r="A693" t="s">
        <v>1445</v>
      </c>
      <c r="B693" s="2">
        <v>45914.5</v>
      </c>
      <c r="C693" t="s">
        <v>62</v>
      </c>
      <c r="D693" t="s">
        <f>'客户档案'!B5</f>
        <v>63</v>
      </c>
      <c r="E693" t="s">
        <v>64</v>
      </c>
      <c r="F693" t="s">
        <v>65</v>
      </c>
      <c r="G693" t="s">
        <f>'商品目录'!B5</f>
        <v>66</v>
      </c>
      <c r="H693" t="s">
        <v>67</v>
      </c>
      <c r="I693">
        <v>4</v>
      </c>
      <c r="J693" s="4">
        <v>45</v>
      </c>
      <c r="K693" s="4">
        <f>I693*J693</f>
        <v>180</v>
      </c>
      <c r="L693" s="3">
        <v>0</v>
      </c>
      <c r="M693" s="4">
        <f>K693*L693</f>
        <v>0</v>
      </c>
      <c r="N693" s="4">
        <v>20</v>
      </c>
      <c r="O693" s="4">
        <f>K693-M693+N693</f>
        <v>200</v>
      </c>
      <c r="P693" t="s">
        <v>43</v>
      </c>
      <c r="Q693" t="b">
        <v>1</v>
      </c>
      <c r="R693" t="s">
        <v>55</v>
      </c>
      <c r="S693" t="s">
        <v>68</v>
      </c>
      <c r="T693" t="s">
        <v>69</v>
      </c>
      <c r="U693" t="s">
        <v>70</v>
      </c>
      <c r="V693" t="s">
        <v>63</v>
      </c>
      <c r="W693" t="s">
        <v>1446</v>
      </c>
      <c r="X693" t="s">
        <v>72</v>
      </c>
      <c r="Y693">
        <v>9007199254741679</v>
      </c>
      <c r="Z693">
        <v>0</v>
      </c>
      <c r="AA693" t="s">
        <v>63</v>
      </c>
      <c r="AB693" t="b">
        <v>0</v>
      </c>
      <c r="AD693" s="3">
        <v>0.125</v>
      </c>
      <c r="AE693" s="2">
        <v>45916.5</v>
      </c>
      <c r="AF693" t="s">
        <v>60</v>
      </c>
    </row>
    <row r="694">
      <c r="A694" t="s">
        <v>1447</v>
      </c>
      <c r="B694" s="2">
        <v>45915.5</v>
      </c>
      <c r="C694" t="s">
        <v>37</v>
      </c>
      <c r="D694" t="s">
        <f>'客户档案'!B3</f>
        <v>38</v>
      </c>
      <c r="E694" t="s">
        <v>74</v>
      </c>
      <c r="F694" t="s">
        <v>75</v>
      </c>
      <c r="G694" t="s">
        <f>'商品目录'!B6</f>
        <v>76</v>
      </c>
      <c r="H694" t="s">
        <v>77</v>
      </c>
      <c r="I694">
        <v>6</v>
      </c>
      <c r="J694" s="4">
        <v>8</v>
      </c>
      <c r="K694" s="4">
        <f>I694*J694</f>
        <v>48</v>
      </c>
      <c r="L694" s="3">
        <v>0.5</v>
      </c>
      <c r="M694" s="4">
        <f>K694*L694</f>
        <v>24</v>
      </c>
      <c r="N694" s="4">
        <v>0</v>
      </c>
      <c r="O694" s="4">
        <f>K694-M694+N694</f>
        <v>24</v>
      </c>
      <c r="P694" t="s">
        <v>43</v>
      </c>
      <c r="Q694" t="b">
        <v>1</v>
      </c>
      <c r="R694" t="s">
        <v>55</v>
      </c>
      <c r="S694" t="s">
        <v>45</v>
      </c>
      <c r="T694" t="s">
        <v>46</v>
      </c>
      <c r="U694" t="s">
        <v>78</v>
      </c>
      <c r="V694" t="s">
        <v>38</v>
      </c>
      <c r="W694" t="s">
        <v>1448</v>
      </c>
      <c r="X694" t="s">
        <v>80</v>
      </c>
      <c r="Y694">
        <v>9007199254741680</v>
      </c>
      <c r="Z694">
        <v>0</v>
      </c>
      <c r="AA694" t="s">
        <v>38</v>
      </c>
      <c r="AB694" t="b">
        <v>1</v>
      </c>
      <c r="AD694" s="3">
        <v>0.125</v>
      </c>
      <c r="AE694" s="2">
        <v>45917.5</v>
      </c>
      <c r="AF694" t="s">
        <v>60</v>
      </c>
    </row>
    <row r="695">
      <c r="A695" t="s">
        <v>1449</v>
      </c>
      <c r="B695" s="2">
        <v>45916.5</v>
      </c>
      <c r="C695" t="s">
        <v>49</v>
      </c>
      <c r="D695" t="s">
        <f>'客户档案'!B4</f>
        <v>50</v>
      </c>
      <c r="E695" t="s">
        <v>39</v>
      </c>
      <c r="F695" t="s">
        <v>40</v>
      </c>
      <c r="G695" t="s">
        <f>'商品目录'!B3</f>
        <v>41</v>
      </c>
      <c r="H695" t="s">
        <v>42</v>
      </c>
      <c r="I695">
        <v>8</v>
      </c>
      <c r="J695" s="4">
        <v>99</v>
      </c>
      <c r="K695" s="4">
        <f>I695*J695</f>
        <v>792</v>
      </c>
      <c r="L695" s="3">
        <v>0</v>
      </c>
      <c r="M695" s="4">
        <f>K695*L695</f>
        <v>0</v>
      </c>
      <c r="N695" s="4">
        <v>10</v>
      </c>
      <c r="O695" s="4">
        <f>K695-M695+N695</f>
        <v>802</v>
      </c>
      <c r="P695" t="s">
        <v>43</v>
      </c>
      <c r="Q695" t="b">
        <v>0</v>
      </c>
      <c r="R695" t="s">
        <v>44</v>
      </c>
      <c r="S695" t="s">
        <v>56</v>
      </c>
      <c r="T695" t="s">
        <v>57</v>
      </c>
      <c r="U695" t="s">
        <v>39</v>
      </c>
      <c r="V695" t="s">
        <v>50</v>
      </c>
      <c r="W695" t="s">
        <v>1450</v>
      </c>
      <c r="X695" t="s">
        <v>0</v>
      </c>
      <c r="Y695">
        <v>9007199254741681</v>
      </c>
      <c r="Z695">
        <v>0</v>
      </c>
      <c r="AA695" t="s">
        <v>50</v>
      </c>
      <c r="AB695" t="b">
        <v>0</v>
      </c>
      <c r="AD695" s="3">
        <v>0.125</v>
      </c>
      <c r="AE695" s="2">
        <v>45918.5</v>
      </c>
      <c r="AF695" t="s">
        <v>60</v>
      </c>
    </row>
    <row r="696">
      <c r="A696" t="s">
        <v>1451</v>
      </c>
      <c r="B696" s="2">
        <v>45917.5</v>
      </c>
      <c r="C696" t="s">
        <v>62</v>
      </c>
      <c r="D696" t="s">
        <f>'客户档案'!B5</f>
        <v>63</v>
      </c>
      <c r="E696" t="s">
        <v>51</v>
      </c>
      <c r="F696" t="s">
        <v>52</v>
      </c>
      <c r="G696" t="s">
        <f>'商品目录'!B4</f>
        <v>53</v>
      </c>
      <c r="H696" t="s">
        <v>54</v>
      </c>
      <c r="I696">
        <v>10</v>
      </c>
      <c r="J696" s="4">
        <v>129</v>
      </c>
      <c r="K696" s="4">
        <f>I696*J696</f>
        <v>1290</v>
      </c>
      <c r="L696" s="3">
        <v>0.5</v>
      </c>
      <c r="M696" s="4">
        <f>K696*L696</f>
        <v>645</v>
      </c>
      <c r="N696" s="4">
        <v>20</v>
      </c>
      <c r="O696" s="4">
        <f>K696-M696+N696</f>
        <v>665</v>
      </c>
      <c r="P696" t="s">
        <v>43</v>
      </c>
      <c r="Q696" t="b">
        <v>1</v>
      </c>
      <c r="R696" t="s">
        <v>55</v>
      </c>
      <c r="S696" t="s">
        <v>68</v>
      </c>
      <c r="T696" t="s">
        <v>69</v>
      </c>
      <c r="U696" t="s">
        <v>51</v>
      </c>
      <c r="V696" t="s">
        <v>63</v>
      </c>
      <c r="W696" t="s">
        <v>1452</v>
      </c>
      <c r="X696" t="s">
        <v>59</v>
      </c>
      <c r="Y696">
        <v>9007199254741682</v>
      </c>
      <c r="Z696">
        <v>0</v>
      </c>
      <c r="AA696" t="s">
        <v>63</v>
      </c>
      <c r="AB696" t="b">
        <v>1</v>
      </c>
      <c r="AD696" s="3">
        <v>0.125</v>
      </c>
      <c r="AE696" s="2">
        <v>45919.5</v>
      </c>
      <c r="AF696" t="s">
        <v>60</v>
      </c>
    </row>
    <row r="697">
      <c r="A697" t="s">
        <v>1453</v>
      </c>
      <c r="B697" s="2">
        <v>45918.5</v>
      </c>
      <c r="C697" t="s">
        <v>37</v>
      </c>
      <c r="D697" t="s">
        <f>'客户档案'!B3</f>
        <v>38</v>
      </c>
      <c r="E697" t="s">
        <v>64</v>
      </c>
      <c r="F697" t="s">
        <v>65</v>
      </c>
      <c r="G697" t="s">
        <f>'商品目录'!B5</f>
        <v>66</v>
      </c>
      <c r="H697" t="s">
        <v>67</v>
      </c>
      <c r="I697">
        <v>2</v>
      </c>
      <c r="J697" s="4">
        <v>45</v>
      </c>
      <c r="K697" s="4">
        <f>I697*J697</f>
        <v>90</v>
      </c>
      <c r="L697" s="3">
        <v>0</v>
      </c>
      <c r="M697" s="4">
        <f>K697*L697</f>
        <v>0</v>
      </c>
      <c r="N697" s="4">
        <v>0</v>
      </c>
      <c r="O697" s="4">
        <f>K697-M697+N697</f>
        <v>90</v>
      </c>
      <c r="P697" t="s">
        <v>43</v>
      </c>
      <c r="Q697" t="b">
        <v>1</v>
      </c>
      <c r="R697" t="s">
        <v>55</v>
      </c>
      <c r="S697" t="s">
        <v>45</v>
      </c>
      <c r="T697" t="s">
        <v>46</v>
      </c>
      <c r="U697" t="s">
        <v>70</v>
      </c>
      <c r="V697" t="s">
        <v>38</v>
      </c>
      <c r="W697" t="s">
        <v>1454</v>
      </c>
      <c r="X697" t="s">
        <v>72</v>
      </c>
      <c r="Y697">
        <v>9007199254741683</v>
      </c>
      <c r="Z697">
        <v>0</v>
      </c>
      <c r="AA697" t="s">
        <v>38</v>
      </c>
      <c r="AB697" t="b">
        <v>0</v>
      </c>
      <c r="AD697" s="3">
        <v>0.125</v>
      </c>
      <c r="AE697" s="2">
        <v>45920.5</v>
      </c>
      <c r="AF697" t="s">
        <v>60</v>
      </c>
    </row>
    <row r="698">
      <c r="A698" t="s">
        <v>1455</v>
      </c>
      <c r="B698" s="2">
        <v>45919.5</v>
      </c>
      <c r="C698" t="s">
        <v>49</v>
      </c>
      <c r="D698" t="s">
        <f>'客户档案'!B4</f>
        <v>50</v>
      </c>
      <c r="E698" t="s">
        <v>74</v>
      </c>
      <c r="F698" t="s">
        <v>75</v>
      </c>
      <c r="G698" t="s">
        <f>'商品目录'!B6</f>
        <v>76</v>
      </c>
      <c r="H698" t="s">
        <v>77</v>
      </c>
      <c r="I698">
        <v>4</v>
      </c>
      <c r="J698" s="4">
        <v>8</v>
      </c>
      <c r="K698" s="4">
        <f>I698*J698</f>
        <v>32</v>
      </c>
      <c r="L698" s="3">
        <v>0.5</v>
      </c>
      <c r="M698" s="4">
        <f>K698*L698</f>
        <v>16</v>
      </c>
      <c r="N698" s="4">
        <v>10</v>
      </c>
      <c r="O698" s="4">
        <f>K698-M698+N698</f>
        <v>26</v>
      </c>
      <c r="P698" t="s">
        <v>43</v>
      </c>
      <c r="Q698" t="b">
        <v>1</v>
      </c>
      <c r="R698" t="s">
        <v>55</v>
      </c>
      <c r="S698" t="s">
        <v>56</v>
      </c>
      <c r="T698" t="s">
        <v>57</v>
      </c>
      <c r="U698" t="s">
        <v>78</v>
      </c>
      <c r="V698" t="s">
        <v>50</v>
      </c>
      <c r="W698" t="s">
        <v>1456</v>
      </c>
      <c r="X698" t="s">
        <v>80</v>
      </c>
      <c r="Y698">
        <v>9007199254741684</v>
      </c>
      <c r="Z698">
        <v>0</v>
      </c>
      <c r="AA698" t="s">
        <v>50</v>
      </c>
      <c r="AB698" t="b">
        <v>1</v>
      </c>
      <c r="AD698" s="3">
        <v>0.125</v>
      </c>
      <c r="AE698" s="2">
        <v>45921.5</v>
      </c>
      <c r="AF698" t="s">
        <v>60</v>
      </c>
    </row>
    <row r="699">
      <c r="A699" t="s">
        <v>1457</v>
      </c>
      <c r="B699" s="2">
        <v>45920.5</v>
      </c>
      <c r="C699" t="s">
        <v>62</v>
      </c>
      <c r="D699" t="s">
        <f>'客户档案'!B5</f>
        <v>63</v>
      </c>
      <c r="E699" t="s">
        <v>39</v>
      </c>
      <c r="F699" t="s">
        <v>40</v>
      </c>
      <c r="G699" t="s">
        <f>'商品目录'!B3</f>
        <v>41</v>
      </c>
      <c r="H699" t="s">
        <v>42</v>
      </c>
      <c r="I699">
        <v>6</v>
      </c>
      <c r="J699" s="4">
        <v>99</v>
      </c>
      <c r="K699" s="4">
        <f>I699*J699</f>
        <v>594</v>
      </c>
      <c r="L699" s="3">
        <v>0</v>
      </c>
      <c r="M699" s="4">
        <f>K699*L699</f>
        <v>0</v>
      </c>
      <c r="N699" s="4">
        <v>20</v>
      </c>
      <c r="O699" s="4">
        <f>K699-M699+N699</f>
        <v>614</v>
      </c>
      <c r="P699" t="s">
        <v>43</v>
      </c>
      <c r="Q699" t="b">
        <v>0</v>
      </c>
      <c r="R699" t="s">
        <v>44</v>
      </c>
      <c r="S699" t="s">
        <v>68</v>
      </c>
      <c r="T699" t="s">
        <v>69</v>
      </c>
      <c r="U699" t="s">
        <v>39</v>
      </c>
      <c r="V699" t="s">
        <v>63</v>
      </c>
      <c r="W699" t="s">
        <v>1458</v>
      </c>
      <c r="X699" t="s">
        <v>0</v>
      </c>
      <c r="Y699">
        <v>9007199254741685</v>
      </c>
      <c r="Z699">
        <v>0</v>
      </c>
      <c r="AA699" t="s">
        <v>63</v>
      </c>
      <c r="AB699" t="b">
        <v>0</v>
      </c>
      <c r="AD699" s="3">
        <v>0.125</v>
      </c>
      <c r="AE699" s="2">
        <v>45922.5</v>
      </c>
      <c r="AF699" t="s">
        <v>60</v>
      </c>
    </row>
    <row r="700">
      <c r="A700" t="s">
        <v>1459</v>
      </c>
      <c r="B700" s="2">
        <v>45921.5</v>
      </c>
      <c r="C700" t="s">
        <v>37</v>
      </c>
      <c r="D700" t="s">
        <f>'客户档案'!B3</f>
        <v>38</v>
      </c>
      <c r="E700" t="s">
        <v>51</v>
      </c>
      <c r="F700" t="s">
        <v>52</v>
      </c>
      <c r="G700" t="s">
        <f>'商品目录'!B4</f>
        <v>53</v>
      </c>
      <c r="H700" t="s">
        <v>54</v>
      </c>
      <c r="I700">
        <v>8</v>
      </c>
      <c r="J700" s="4">
        <v>129</v>
      </c>
      <c r="K700" s="4">
        <f>I700*J700</f>
        <v>1032</v>
      </c>
      <c r="L700" s="3">
        <v>0.5</v>
      </c>
      <c r="M700" s="4">
        <f>K700*L700</f>
        <v>516</v>
      </c>
      <c r="N700" s="4">
        <v>0</v>
      </c>
      <c r="O700" s="4">
        <f>K700-M700+N700</f>
        <v>516</v>
      </c>
      <c r="P700" t="s">
        <v>43</v>
      </c>
      <c r="Q700" t="b">
        <v>1</v>
      </c>
      <c r="R700" t="s">
        <v>55</v>
      </c>
      <c r="S700" t="s">
        <v>45</v>
      </c>
      <c r="T700" t="s">
        <v>46</v>
      </c>
      <c r="U700" t="s">
        <v>51</v>
      </c>
      <c r="V700" t="s">
        <v>38</v>
      </c>
      <c r="W700" t="s">
        <v>1460</v>
      </c>
      <c r="X700" t="s">
        <v>59</v>
      </c>
      <c r="Y700">
        <v>9007199254741686</v>
      </c>
      <c r="Z700">
        <v>0</v>
      </c>
      <c r="AA700" t="s">
        <v>38</v>
      </c>
      <c r="AB700" t="b">
        <v>1</v>
      </c>
      <c r="AD700" s="3">
        <v>0.125</v>
      </c>
      <c r="AE700" s="2">
        <v>45923.5</v>
      </c>
      <c r="AF700" t="s">
        <v>60</v>
      </c>
    </row>
    <row r="701">
      <c r="A701" t="s">
        <v>1461</v>
      </c>
      <c r="B701" s="2">
        <v>45922.5</v>
      </c>
      <c r="C701" t="s">
        <v>49</v>
      </c>
      <c r="D701" t="s">
        <f>'客户档案'!B4</f>
        <v>50</v>
      </c>
      <c r="E701" t="s">
        <v>64</v>
      </c>
      <c r="F701" t="s">
        <v>65</v>
      </c>
      <c r="G701" t="s">
        <f>'商品目录'!B5</f>
        <v>66</v>
      </c>
      <c r="H701" t="s">
        <v>67</v>
      </c>
      <c r="I701">
        <v>10</v>
      </c>
      <c r="J701" s="4">
        <v>45</v>
      </c>
      <c r="K701" s="4">
        <f>I701*J701</f>
        <v>450</v>
      </c>
      <c r="L701" s="3">
        <v>0</v>
      </c>
      <c r="M701" s="4">
        <f>K701*L701</f>
        <v>0</v>
      </c>
      <c r="N701" s="4">
        <v>10</v>
      </c>
      <c r="O701" s="4">
        <f>K701-M701+N701</f>
        <v>460</v>
      </c>
      <c r="P701" t="s">
        <v>43</v>
      </c>
      <c r="Q701" t="b">
        <v>1</v>
      </c>
      <c r="R701" t="s">
        <v>55</v>
      </c>
      <c r="S701" t="s">
        <v>56</v>
      </c>
      <c r="T701" t="s">
        <v>57</v>
      </c>
      <c r="U701" t="s">
        <v>70</v>
      </c>
      <c r="V701" t="s">
        <v>50</v>
      </c>
      <c r="W701" t="s">
        <v>1462</v>
      </c>
      <c r="X701" t="s">
        <v>72</v>
      </c>
      <c r="Y701">
        <v>9007199254741687</v>
      </c>
      <c r="Z701">
        <v>0</v>
      </c>
      <c r="AA701" t="s">
        <v>50</v>
      </c>
      <c r="AB701" t="b">
        <v>0</v>
      </c>
      <c r="AD701" s="3">
        <v>0.125</v>
      </c>
      <c r="AE701" s="2">
        <v>45924.5</v>
      </c>
      <c r="AF701" t="s">
        <v>60</v>
      </c>
    </row>
    <row r="702">
      <c r="A702" t="s">
        <v>1463</v>
      </c>
      <c r="B702" s="2">
        <v>45923.5</v>
      </c>
      <c r="C702" t="s">
        <v>62</v>
      </c>
      <c r="D702" t="s">
        <f>'客户档案'!B5</f>
        <v>63</v>
      </c>
      <c r="E702" t="s">
        <v>74</v>
      </c>
      <c r="F702" t="s">
        <v>75</v>
      </c>
      <c r="G702" t="s">
        <f>'商品目录'!B6</f>
        <v>76</v>
      </c>
      <c r="H702" t="s">
        <v>77</v>
      </c>
      <c r="I702">
        <v>2</v>
      </c>
      <c r="J702" s="4">
        <v>8</v>
      </c>
      <c r="K702" s="4">
        <f>I702*J702</f>
        <v>16</v>
      </c>
      <c r="L702" s="3">
        <v>0.5</v>
      </c>
      <c r="M702" s="4">
        <f>K702*L702</f>
        <v>8</v>
      </c>
      <c r="N702" s="4">
        <v>20</v>
      </c>
      <c r="O702" s="4">
        <f>K702-M702+N702</f>
        <v>28</v>
      </c>
      <c r="P702" t="s">
        <v>43</v>
      </c>
      <c r="Q702" t="b">
        <v>1</v>
      </c>
      <c r="R702" t="s">
        <v>55</v>
      </c>
      <c r="S702" t="s">
        <v>68</v>
      </c>
      <c r="T702" t="s">
        <v>69</v>
      </c>
      <c r="U702" t="s">
        <v>78</v>
      </c>
      <c r="V702" t="s">
        <v>63</v>
      </c>
      <c r="W702" t="s">
        <v>1464</v>
      </c>
      <c r="X702" t="s">
        <v>80</v>
      </c>
      <c r="Y702">
        <v>9007199254741688</v>
      </c>
      <c r="Z702">
        <v>0</v>
      </c>
      <c r="AA702" t="s">
        <v>63</v>
      </c>
      <c r="AB702" t="b">
        <v>1</v>
      </c>
      <c r="AD702" s="3">
        <v>0.125</v>
      </c>
      <c r="AE702" s="2">
        <v>45925.5</v>
      </c>
      <c r="AF702" t="s">
        <v>60</v>
      </c>
    </row>
    <row r="703">
      <c r="A703" t="s">
        <v>1465</v>
      </c>
      <c r="B703" s="2">
        <v>45924.5</v>
      </c>
      <c r="C703" t="s">
        <v>37</v>
      </c>
      <c r="D703" t="s">
        <f>'客户档案'!B3</f>
        <v>38</v>
      </c>
      <c r="E703" t="s">
        <v>39</v>
      </c>
      <c r="F703" t="s">
        <v>40</v>
      </c>
      <c r="G703" t="s">
        <f>'商品目录'!B3</f>
        <v>41</v>
      </c>
      <c r="H703" t="s">
        <v>42</v>
      </c>
      <c r="I703">
        <v>4</v>
      </c>
      <c r="J703" s="4">
        <v>99</v>
      </c>
      <c r="K703" s="4">
        <f>I703*J703</f>
        <v>396</v>
      </c>
      <c r="L703" s="3">
        <v>0</v>
      </c>
      <c r="M703" s="4">
        <f>K703*L703</f>
        <v>0</v>
      </c>
      <c r="N703" s="4">
        <v>0</v>
      </c>
      <c r="O703" s="4">
        <f>K703-M703+N703</f>
        <v>396</v>
      </c>
      <c r="P703" t="s">
        <v>43</v>
      </c>
      <c r="Q703" t="b">
        <v>0</v>
      </c>
      <c r="R703" t="s">
        <v>44</v>
      </c>
      <c r="S703" t="s">
        <v>45</v>
      </c>
      <c r="T703" t="s">
        <v>46</v>
      </c>
      <c r="U703" t="s">
        <v>39</v>
      </c>
      <c r="V703" t="s">
        <v>38</v>
      </c>
      <c r="W703" t="s">
        <v>1466</v>
      </c>
      <c r="X703" t="s">
        <v>0</v>
      </c>
      <c r="Y703">
        <v>9007199254741689</v>
      </c>
      <c r="Z703">
        <v>0</v>
      </c>
      <c r="AA703" t="s">
        <v>38</v>
      </c>
      <c r="AB703" t="b">
        <v>0</v>
      </c>
      <c r="AD703" s="3">
        <v>0.125</v>
      </c>
      <c r="AE703" s="2">
        <v>45926.5</v>
      </c>
      <c r="AF703" t="s">
        <v>60</v>
      </c>
    </row>
    <row r="704">
      <c r="A704" t="s">
        <v>1467</v>
      </c>
      <c r="B704" s="2">
        <v>45925.5</v>
      </c>
      <c r="C704" t="s">
        <v>49</v>
      </c>
      <c r="D704" t="s">
        <f>'客户档案'!B4</f>
        <v>50</v>
      </c>
      <c r="E704" t="s">
        <v>51</v>
      </c>
      <c r="F704" t="s">
        <v>52</v>
      </c>
      <c r="G704" t="s">
        <f>'商品目录'!B4</f>
        <v>53</v>
      </c>
      <c r="H704" t="s">
        <v>54</v>
      </c>
      <c r="I704">
        <v>6</v>
      </c>
      <c r="J704" s="4">
        <v>129</v>
      </c>
      <c r="K704" s="4">
        <f>I704*J704</f>
        <v>774</v>
      </c>
      <c r="L704" s="3">
        <v>0.5</v>
      </c>
      <c r="M704" s="4">
        <f>K704*L704</f>
        <v>387</v>
      </c>
      <c r="N704" s="4">
        <v>10</v>
      </c>
      <c r="O704" s="4">
        <f>K704-M704+N704</f>
        <v>397</v>
      </c>
      <c r="P704" t="s">
        <v>43</v>
      </c>
      <c r="Q704" t="b">
        <v>1</v>
      </c>
      <c r="R704" t="s">
        <v>55</v>
      </c>
      <c r="S704" t="s">
        <v>56</v>
      </c>
      <c r="T704" t="s">
        <v>57</v>
      </c>
      <c r="U704" t="s">
        <v>51</v>
      </c>
      <c r="V704" t="s">
        <v>50</v>
      </c>
      <c r="W704" t="s">
        <v>1468</v>
      </c>
      <c r="X704" t="s">
        <v>59</v>
      </c>
      <c r="Y704">
        <v>9007199254741690</v>
      </c>
      <c r="Z704">
        <v>2</v>
      </c>
      <c r="AA704" t="s">
        <v>50</v>
      </c>
      <c r="AB704" t="b">
        <v>1</v>
      </c>
      <c r="AD704" s="3">
        <v>0.125</v>
      </c>
      <c r="AE704" s="2">
        <v>45927.5</v>
      </c>
      <c r="AF704" t="s">
        <v>60</v>
      </c>
    </row>
    <row r="705">
      <c r="A705" t="s">
        <v>1469</v>
      </c>
      <c r="B705" s="2">
        <v>45926.5</v>
      </c>
      <c r="C705" t="s">
        <v>62</v>
      </c>
      <c r="D705" t="s">
        <f>'客户档案'!B5</f>
        <v>63</v>
      </c>
      <c r="E705" t="s">
        <v>64</v>
      </c>
      <c r="F705" t="s">
        <v>65</v>
      </c>
      <c r="G705" t="s">
        <f>'商品目录'!B5</f>
        <v>66</v>
      </c>
      <c r="H705" t="s">
        <v>67</v>
      </c>
      <c r="I705">
        <v>8</v>
      </c>
      <c r="J705" s="4">
        <v>45</v>
      </c>
      <c r="K705" s="4">
        <f>I705*J705</f>
        <v>360</v>
      </c>
      <c r="L705" s="3">
        <v>0</v>
      </c>
      <c r="M705" s="4">
        <f>K705*L705</f>
        <v>0</v>
      </c>
      <c r="N705" s="4">
        <v>20</v>
      </c>
      <c r="O705" s="4">
        <f>K705-M705+N705</f>
        <v>380</v>
      </c>
      <c r="P705" t="s">
        <v>43</v>
      </c>
      <c r="Q705" t="b">
        <v>1</v>
      </c>
      <c r="R705" t="s">
        <v>55</v>
      </c>
      <c r="S705" t="s">
        <v>68</v>
      </c>
      <c r="T705" t="s">
        <v>69</v>
      </c>
      <c r="U705" t="s">
        <v>70</v>
      </c>
      <c r="V705" t="s">
        <v>63</v>
      </c>
      <c r="W705" t="s">
        <v>1470</v>
      </c>
      <c r="X705" t="s">
        <v>72</v>
      </c>
      <c r="Y705">
        <v>9007199254741691</v>
      </c>
      <c r="Z705">
        <v>0</v>
      </c>
      <c r="AA705" t="s">
        <v>63</v>
      </c>
      <c r="AB705" t="b">
        <v>0</v>
      </c>
      <c r="AD705" s="3">
        <v>0.125</v>
      </c>
      <c r="AE705" s="2">
        <v>45928.5</v>
      </c>
      <c r="AF705" t="s">
        <v>60</v>
      </c>
    </row>
    <row r="706">
      <c r="A706" t="s">
        <v>1471</v>
      </c>
      <c r="B706" s="2">
        <v>45927.5</v>
      </c>
      <c r="C706" t="s">
        <v>37</v>
      </c>
      <c r="D706" t="s">
        <f>'客户档案'!B3</f>
        <v>38</v>
      </c>
      <c r="E706" t="s">
        <v>74</v>
      </c>
      <c r="F706" t="s">
        <v>75</v>
      </c>
      <c r="G706" t="s">
        <f>'商品目录'!B6</f>
        <v>76</v>
      </c>
      <c r="H706" t="s">
        <v>77</v>
      </c>
      <c r="I706">
        <v>10</v>
      </c>
      <c r="J706" s="4">
        <v>8</v>
      </c>
      <c r="K706" s="4">
        <f>I706*J706</f>
        <v>80</v>
      </c>
      <c r="L706" s="3">
        <v>0.5</v>
      </c>
      <c r="M706" s="4">
        <f>K706*L706</f>
        <v>40</v>
      </c>
      <c r="N706" s="4">
        <v>0</v>
      </c>
      <c r="O706" s="4">
        <f>K706-M706+N706</f>
        <v>40</v>
      </c>
      <c r="P706" t="s">
        <v>43</v>
      </c>
      <c r="Q706" t="b">
        <v>1</v>
      </c>
      <c r="R706" t="s">
        <v>55</v>
      </c>
      <c r="S706" t="s">
        <v>45</v>
      </c>
      <c r="T706" t="s">
        <v>46</v>
      </c>
      <c r="U706" t="s">
        <v>78</v>
      </c>
      <c r="V706" t="s">
        <v>38</v>
      </c>
      <c r="W706" t="s">
        <v>1472</v>
      </c>
      <c r="X706" t="s">
        <v>80</v>
      </c>
      <c r="Y706">
        <v>9007199254741692</v>
      </c>
      <c r="Z706">
        <v>0</v>
      </c>
      <c r="AA706" t="s">
        <v>38</v>
      </c>
      <c r="AB706" t="b">
        <v>1</v>
      </c>
      <c r="AD706" s="3">
        <v>0.125</v>
      </c>
      <c r="AE706" s="2">
        <v>45929.5</v>
      </c>
      <c r="AF706" t="s">
        <v>60</v>
      </c>
    </row>
    <row r="707">
      <c r="A707" t="s">
        <v>1473</v>
      </c>
      <c r="B707" s="2">
        <v>45900.5</v>
      </c>
      <c r="C707" t="s">
        <v>49</v>
      </c>
      <c r="D707" t="s">
        <f>'客户档案'!B4</f>
        <v>50</v>
      </c>
      <c r="E707" t="s">
        <v>39</v>
      </c>
      <c r="F707" t="s">
        <v>40</v>
      </c>
      <c r="G707" t="s">
        <f>'商品目录'!B3</f>
        <v>41</v>
      </c>
      <c r="H707" t="s">
        <v>42</v>
      </c>
      <c r="I707">
        <v>2</v>
      </c>
      <c r="J707" s="4">
        <v>99</v>
      </c>
      <c r="K707" s="4">
        <f>I707*J707</f>
        <v>198</v>
      </c>
      <c r="L707" s="3">
        <v>0</v>
      </c>
      <c r="M707" s="4">
        <f>K707*L707</f>
        <v>0</v>
      </c>
      <c r="N707" s="4">
        <v>10</v>
      </c>
      <c r="O707" s="4">
        <f>K707-M707+N707</f>
        <v>208</v>
      </c>
      <c r="P707" t="s">
        <v>43</v>
      </c>
      <c r="Q707" t="b">
        <v>0</v>
      </c>
      <c r="R707" t="s">
        <v>44</v>
      </c>
      <c r="S707" t="s">
        <v>56</v>
      </c>
      <c r="T707" t="s">
        <v>57</v>
      </c>
      <c r="U707" t="s">
        <v>39</v>
      </c>
      <c r="V707" t="s">
        <v>50</v>
      </c>
      <c r="W707" t="s">
        <v>1474</v>
      </c>
      <c r="X707" t="s">
        <v>0</v>
      </c>
      <c r="Y707">
        <v>9007199254741693</v>
      </c>
      <c r="Z707">
        <v>0</v>
      </c>
      <c r="AA707" t="s">
        <v>50</v>
      </c>
      <c r="AB707" t="b">
        <v>0</v>
      </c>
      <c r="AD707" s="3">
        <v>0.125</v>
      </c>
      <c r="AE707" s="2">
        <v>45902.5</v>
      </c>
      <c r="AF707" t="s">
        <v>60</v>
      </c>
    </row>
    <row r="708">
      <c r="A708" t="s">
        <v>1475</v>
      </c>
      <c r="B708" s="2">
        <v>45901.5</v>
      </c>
      <c r="C708" t="s">
        <v>62</v>
      </c>
      <c r="D708" t="s">
        <f>'客户档案'!B5</f>
        <v>63</v>
      </c>
      <c r="E708" t="s">
        <v>51</v>
      </c>
      <c r="F708" t="s">
        <v>52</v>
      </c>
      <c r="G708" t="s">
        <f>'商品目录'!B4</f>
        <v>53</v>
      </c>
      <c r="H708" t="s">
        <v>54</v>
      </c>
      <c r="I708">
        <v>4</v>
      </c>
      <c r="J708" s="4">
        <v>129</v>
      </c>
      <c r="K708" s="4">
        <f>I708*J708</f>
        <v>516</v>
      </c>
      <c r="L708" s="3">
        <v>0.5</v>
      </c>
      <c r="M708" s="4">
        <f>K708*L708</f>
        <v>258</v>
      </c>
      <c r="N708" s="4">
        <v>20</v>
      </c>
      <c r="O708" s="4">
        <f>K708-M708+N708</f>
        <v>278</v>
      </c>
      <c r="P708" t="s">
        <v>43</v>
      </c>
      <c r="Q708" t="b">
        <v>1</v>
      </c>
      <c r="R708" t="s">
        <v>55</v>
      </c>
      <c r="S708" t="s">
        <v>68</v>
      </c>
      <c r="T708" t="s">
        <v>69</v>
      </c>
      <c r="U708" t="s">
        <v>51</v>
      </c>
      <c r="V708" t="s">
        <v>63</v>
      </c>
      <c r="W708" t="s">
        <v>1476</v>
      </c>
      <c r="X708" t="s">
        <v>59</v>
      </c>
      <c r="Y708">
        <v>9007199254741694</v>
      </c>
      <c r="Z708">
        <v>0</v>
      </c>
      <c r="AA708" t="s">
        <v>63</v>
      </c>
      <c r="AB708" t="b">
        <v>1</v>
      </c>
      <c r="AD708" s="3">
        <v>0.125</v>
      </c>
      <c r="AE708" s="2">
        <v>45903.5</v>
      </c>
      <c r="AF708" t="s">
        <v>60</v>
      </c>
    </row>
    <row r="709">
      <c r="A709" t="s">
        <v>1477</v>
      </c>
      <c r="B709" s="2">
        <v>45902.5</v>
      </c>
      <c r="C709" t="s">
        <v>37</v>
      </c>
      <c r="D709" t="s">
        <f>'客户档案'!B3</f>
        <v>38</v>
      </c>
      <c r="E709" t="s">
        <v>64</v>
      </c>
      <c r="F709" t="s">
        <v>65</v>
      </c>
      <c r="G709" t="s">
        <f>'商品目录'!B5</f>
        <v>66</v>
      </c>
      <c r="H709" t="s">
        <v>67</v>
      </c>
      <c r="I709">
        <v>6</v>
      </c>
      <c r="J709" s="4">
        <v>45</v>
      </c>
      <c r="K709" s="4">
        <f>I709*J709</f>
        <v>270</v>
      </c>
      <c r="L709" s="3">
        <v>0</v>
      </c>
      <c r="M709" s="4">
        <f>K709*L709</f>
        <v>0</v>
      </c>
      <c r="N709" s="4">
        <v>0</v>
      </c>
      <c r="O709" s="4">
        <f>K709-M709+N709</f>
        <v>270</v>
      </c>
      <c r="P709" t="s">
        <v>43</v>
      </c>
      <c r="Q709" t="b">
        <v>1</v>
      </c>
      <c r="R709" t="s">
        <v>55</v>
      </c>
      <c r="S709" t="s">
        <v>45</v>
      </c>
      <c r="T709" t="s">
        <v>46</v>
      </c>
      <c r="U709" t="s">
        <v>70</v>
      </c>
      <c r="V709" t="s">
        <v>38</v>
      </c>
      <c r="W709" t="s">
        <v>1478</v>
      </c>
      <c r="X709" t="s">
        <v>72</v>
      </c>
      <c r="Y709">
        <v>9007199254741695</v>
      </c>
      <c r="Z709">
        <v>0</v>
      </c>
      <c r="AA709" t="s">
        <v>38</v>
      </c>
      <c r="AB709" t="b">
        <v>0</v>
      </c>
      <c r="AD709" s="3">
        <v>0.125</v>
      </c>
      <c r="AE709" s="2">
        <v>45904.5</v>
      </c>
      <c r="AF709" t="s">
        <v>60</v>
      </c>
    </row>
    <row r="710">
      <c r="A710" t="s">
        <v>1479</v>
      </c>
      <c r="B710" s="2">
        <v>45903.5</v>
      </c>
      <c r="C710" t="s">
        <v>49</v>
      </c>
      <c r="D710" t="s">
        <f>'客户档案'!B4</f>
        <v>50</v>
      </c>
      <c r="E710" t="s">
        <v>74</v>
      </c>
      <c r="F710" t="s">
        <v>75</v>
      </c>
      <c r="G710" t="s">
        <f>'商品目录'!B6</f>
        <v>76</v>
      </c>
      <c r="H710" t="s">
        <v>77</v>
      </c>
      <c r="I710">
        <v>8</v>
      </c>
      <c r="J710" s="4">
        <v>8</v>
      </c>
      <c r="K710" s="4">
        <f>I710*J710</f>
        <v>64</v>
      </c>
      <c r="L710" s="3">
        <v>0.5</v>
      </c>
      <c r="M710" s="4">
        <f>K710*L710</f>
        <v>32</v>
      </c>
      <c r="N710" s="4">
        <v>10</v>
      </c>
      <c r="O710" s="4">
        <f>K710-M710+N710</f>
        <v>42</v>
      </c>
      <c r="P710" t="s">
        <v>43</v>
      </c>
      <c r="Q710" t="b">
        <v>1</v>
      </c>
      <c r="R710" t="s">
        <v>55</v>
      </c>
      <c r="S710" t="s">
        <v>56</v>
      </c>
      <c r="T710" t="s">
        <v>57</v>
      </c>
      <c r="U710" t="s">
        <v>78</v>
      </c>
      <c r="V710" t="s">
        <v>50</v>
      </c>
      <c r="W710" t="s">
        <v>1480</v>
      </c>
      <c r="X710" t="s">
        <v>80</v>
      </c>
      <c r="Y710">
        <v>9007199254741696</v>
      </c>
      <c r="Z710">
        <v>0</v>
      </c>
      <c r="AA710" t="s">
        <v>50</v>
      </c>
      <c r="AB710" t="b">
        <v>1</v>
      </c>
      <c r="AD710" s="3">
        <v>0.125</v>
      </c>
      <c r="AE710" s="2">
        <v>45905.5</v>
      </c>
      <c r="AF710" t="s">
        <v>60</v>
      </c>
    </row>
    <row r="711">
      <c r="A711" t="s">
        <v>1481</v>
      </c>
      <c r="B711" s="2">
        <v>45904.5</v>
      </c>
      <c r="C711" t="s">
        <v>62</v>
      </c>
      <c r="D711" t="s">
        <f>'客户档案'!B5</f>
        <v>63</v>
      </c>
      <c r="E711" t="s">
        <v>39</v>
      </c>
      <c r="F711" t="s">
        <v>40</v>
      </c>
      <c r="G711" t="s">
        <f>'商品目录'!B3</f>
        <v>41</v>
      </c>
      <c r="H711" t="s">
        <v>42</v>
      </c>
      <c r="I711">
        <v>10</v>
      </c>
      <c r="J711" s="4">
        <v>99</v>
      </c>
      <c r="K711" s="4">
        <f>I711*J711</f>
        <v>990</v>
      </c>
      <c r="L711" s="3">
        <v>0</v>
      </c>
      <c r="M711" s="4">
        <f>K711*L711</f>
        <v>0</v>
      </c>
      <c r="N711" s="4">
        <v>20</v>
      </c>
      <c r="O711" s="4">
        <f>K711-M711+N711</f>
        <v>1010</v>
      </c>
      <c r="P711" t="s">
        <v>43</v>
      </c>
      <c r="Q711" t="b">
        <v>0</v>
      </c>
      <c r="R711" t="s">
        <v>44</v>
      </c>
      <c r="S711" t="s">
        <v>68</v>
      </c>
      <c r="T711" t="s">
        <v>69</v>
      </c>
      <c r="U711" t="s">
        <v>39</v>
      </c>
      <c r="V711" t="s">
        <v>63</v>
      </c>
      <c r="W711" t="s">
        <v>1482</v>
      </c>
      <c r="X711" t="s">
        <v>0</v>
      </c>
      <c r="Y711">
        <v>9007199254741697</v>
      </c>
      <c r="Z711">
        <v>0</v>
      </c>
      <c r="AA711" t="s">
        <v>63</v>
      </c>
      <c r="AB711" t="b">
        <v>0</v>
      </c>
      <c r="AD711" s="3">
        <v>0.125</v>
      </c>
      <c r="AE711" s="2">
        <v>45906.5</v>
      </c>
      <c r="AF711" t="s">
        <v>60</v>
      </c>
    </row>
    <row r="712">
      <c r="A712" t="s">
        <v>1483</v>
      </c>
      <c r="B712" s="2">
        <v>45905.5</v>
      </c>
      <c r="C712" t="s">
        <v>37</v>
      </c>
      <c r="D712" t="s">
        <f>'客户档案'!B3</f>
        <v>38</v>
      </c>
      <c r="E712" t="s">
        <v>51</v>
      </c>
      <c r="F712" t="s">
        <v>52</v>
      </c>
      <c r="G712" t="s">
        <f>'商品目录'!B4</f>
        <v>53</v>
      </c>
      <c r="H712" t="s">
        <v>54</v>
      </c>
      <c r="I712">
        <v>2</v>
      </c>
      <c r="J712" s="4">
        <v>129</v>
      </c>
      <c r="K712" s="4">
        <f>I712*J712</f>
        <v>258</v>
      </c>
      <c r="L712" s="3">
        <v>0.5</v>
      </c>
      <c r="M712" s="4">
        <f>K712*L712</f>
        <v>129</v>
      </c>
      <c r="N712" s="4">
        <v>0</v>
      </c>
      <c r="O712" s="4">
        <f>K712-M712+N712</f>
        <v>129</v>
      </c>
      <c r="P712" t="s">
        <v>43</v>
      </c>
      <c r="Q712" t="b">
        <v>1</v>
      </c>
      <c r="R712" t="s">
        <v>55</v>
      </c>
      <c r="S712" t="s">
        <v>45</v>
      </c>
      <c r="T712" t="s">
        <v>46</v>
      </c>
      <c r="U712" t="s">
        <v>51</v>
      </c>
      <c r="V712" t="s">
        <v>38</v>
      </c>
      <c r="W712" t="s">
        <v>1484</v>
      </c>
      <c r="X712" t="s">
        <v>59</v>
      </c>
      <c r="Y712">
        <v>9007199254741698</v>
      </c>
      <c r="Z712">
        <v>0</v>
      </c>
      <c r="AA712" t="s">
        <v>38</v>
      </c>
      <c r="AB712" t="b">
        <v>1</v>
      </c>
      <c r="AD712" s="3">
        <v>0.125</v>
      </c>
      <c r="AE712" s="2">
        <v>45907.5</v>
      </c>
      <c r="AF712" t="s">
        <v>60</v>
      </c>
    </row>
    <row r="713">
      <c r="A713" t="s">
        <v>1485</v>
      </c>
      <c r="B713" s="2">
        <v>45906.5</v>
      </c>
      <c r="C713" t="s">
        <v>49</v>
      </c>
      <c r="D713" t="s">
        <f>'客户档案'!B4</f>
        <v>50</v>
      </c>
      <c r="E713" t="s">
        <v>64</v>
      </c>
      <c r="F713" t="s">
        <v>65</v>
      </c>
      <c r="G713" t="s">
        <f>'商品目录'!B5</f>
        <v>66</v>
      </c>
      <c r="H713" t="s">
        <v>67</v>
      </c>
      <c r="I713">
        <v>4</v>
      </c>
      <c r="J713" s="4">
        <v>45</v>
      </c>
      <c r="K713" s="4">
        <f>I713*J713</f>
        <v>180</v>
      </c>
      <c r="L713" s="3">
        <v>0</v>
      </c>
      <c r="M713" s="4">
        <f>K713*L713</f>
        <v>0</v>
      </c>
      <c r="N713" s="4">
        <v>10</v>
      </c>
      <c r="O713" s="4">
        <f>K713-M713+N713</f>
        <v>190</v>
      </c>
      <c r="P713" t="s">
        <v>43</v>
      </c>
      <c r="Q713" t="b">
        <v>1</v>
      </c>
      <c r="R713" t="s">
        <v>55</v>
      </c>
      <c r="S713" t="s">
        <v>56</v>
      </c>
      <c r="T713" t="s">
        <v>57</v>
      </c>
      <c r="U713" t="s">
        <v>70</v>
      </c>
      <c r="V713" t="s">
        <v>50</v>
      </c>
      <c r="W713" t="s">
        <v>1486</v>
      </c>
      <c r="X713" t="s">
        <v>72</v>
      </c>
      <c r="Y713">
        <v>9007199254741699</v>
      </c>
      <c r="Z713">
        <v>0</v>
      </c>
      <c r="AA713" t="s">
        <v>50</v>
      </c>
      <c r="AB713" t="b">
        <v>0</v>
      </c>
      <c r="AD713" s="3">
        <v>0.125</v>
      </c>
      <c r="AE713" s="2">
        <v>45908.5</v>
      </c>
      <c r="AF713" t="s">
        <v>60</v>
      </c>
    </row>
    <row r="714">
      <c r="A714" t="s">
        <v>1487</v>
      </c>
      <c r="B714" s="2">
        <v>45907.5</v>
      </c>
      <c r="C714" t="s">
        <v>62</v>
      </c>
      <c r="D714" t="s">
        <f>'客户档案'!B5</f>
        <v>63</v>
      </c>
      <c r="E714" t="s">
        <v>74</v>
      </c>
      <c r="F714" t="s">
        <v>75</v>
      </c>
      <c r="G714" t="s">
        <f>'商品目录'!B6</f>
        <v>76</v>
      </c>
      <c r="H714" t="s">
        <v>77</v>
      </c>
      <c r="I714">
        <v>6</v>
      </c>
      <c r="J714" s="4">
        <v>8</v>
      </c>
      <c r="K714" s="4">
        <f>I714*J714</f>
        <v>48</v>
      </c>
      <c r="L714" s="3">
        <v>0.5</v>
      </c>
      <c r="M714" s="4">
        <f>K714*L714</f>
        <v>24</v>
      </c>
      <c r="N714" s="4">
        <v>20</v>
      </c>
      <c r="O714" s="4">
        <f>K714-M714+N714</f>
        <v>44</v>
      </c>
      <c r="P714" t="s">
        <v>43</v>
      </c>
      <c r="Q714" t="b">
        <v>1</v>
      </c>
      <c r="R714" t="s">
        <v>55</v>
      </c>
      <c r="S714" t="s">
        <v>68</v>
      </c>
      <c r="T714" t="s">
        <v>69</v>
      </c>
      <c r="U714" t="s">
        <v>78</v>
      </c>
      <c r="V714" t="s">
        <v>63</v>
      </c>
      <c r="W714" t="s">
        <v>1488</v>
      </c>
      <c r="X714" t="s">
        <v>80</v>
      </c>
      <c r="Y714">
        <v>9007199254741700</v>
      </c>
      <c r="Z714">
        <v>0</v>
      </c>
      <c r="AA714" t="s">
        <v>63</v>
      </c>
      <c r="AB714" t="b">
        <v>1</v>
      </c>
      <c r="AD714" s="3">
        <v>0.125</v>
      </c>
      <c r="AE714" s="2">
        <v>45909.5</v>
      </c>
      <c r="AF714" t="e">
        <v>#N/A</v>
      </c>
    </row>
    <row r="715">
      <c r="A715" t="s">
        <v>1489</v>
      </c>
      <c r="B715" s="2">
        <v>45908.5</v>
      </c>
      <c r="C715" t="s">
        <v>37</v>
      </c>
      <c r="D715" t="s">
        <f>'客户档案'!B3</f>
        <v>38</v>
      </c>
      <c r="E715" t="s">
        <v>39</v>
      </c>
      <c r="F715" t="s">
        <v>40</v>
      </c>
      <c r="G715" t="s">
        <f>'商品目录'!B3</f>
        <v>41</v>
      </c>
      <c r="H715" t="s">
        <v>42</v>
      </c>
      <c r="I715">
        <v>8</v>
      </c>
      <c r="J715" s="4">
        <v>99</v>
      </c>
      <c r="K715" s="4">
        <f>I715*J715</f>
        <v>792</v>
      </c>
      <c r="L715" s="3">
        <v>0</v>
      </c>
      <c r="M715" s="4">
        <f>K715*L715</f>
        <v>0</v>
      </c>
      <c r="N715" s="4">
        <v>0</v>
      </c>
      <c r="O715" s="4">
        <f>K715-M715+N715</f>
        <v>792</v>
      </c>
      <c r="P715" t="s">
        <v>43</v>
      </c>
      <c r="Q715" t="b">
        <v>0</v>
      </c>
      <c r="R715" t="s">
        <v>44</v>
      </c>
      <c r="S715" t="s">
        <v>45</v>
      </c>
      <c r="T715" t="s">
        <v>46</v>
      </c>
      <c r="U715" t="s">
        <v>39</v>
      </c>
      <c r="V715" t="s">
        <v>38</v>
      </c>
      <c r="W715" t="s">
        <v>1490</v>
      </c>
      <c r="X715" t="s">
        <v>0</v>
      </c>
      <c r="Y715">
        <v>9007199254741701</v>
      </c>
      <c r="Z715">
        <v>0</v>
      </c>
      <c r="AA715" t="s">
        <v>38</v>
      </c>
      <c r="AB715" t="b">
        <v>0</v>
      </c>
      <c r="AD715" s="3">
        <v>0.125</v>
      </c>
      <c r="AE715" s="2">
        <v>45910.5</v>
      </c>
      <c r="AF715" t="s">
        <v>60</v>
      </c>
    </row>
    <row r="716">
      <c r="A716" t="s">
        <v>1491</v>
      </c>
      <c r="B716" s="2">
        <v>45909.5</v>
      </c>
      <c r="C716" t="s">
        <v>49</v>
      </c>
      <c r="D716" t="s">
        <f>'客户档案'!B4</f>
        <v>50</v>
      </c>
      <c r="E716" t="s">
        <v>51</v>
      </c>
      <c r="F716" t="s">
        <v>52</v>
      </c>
      <c r="G716" t="s">
        <f>'商品目录'!B4</f>
        <v>53</v>
      </c>
      <c r="H716" t="s">
        <v>54</v>
      </c>
      <c r="I716">
        <v>10</v>
      </c>
      <c r="J716" s="4">
        <v>129</v>
      </c>
      <c r="K716" s="4">
        <f>I716*J716</f>
        <v>1290</v>
      </c>
      <c r="L716" s="3">
        <v>0.5</v>
      </c>
      <c r="M716" s="4">
        <f>K716*L716</f>
        <v>645</v>
      </c>
      <c r="N716" s="4">
        <v>10</v>
      </c>
      <c r="O716" s="4">
        <f>K716-M716+N716</f>
        <v>655</v>
      </c>
      <c r="P716" t="s">
        <v>43</v>
      </c>
      <c r="Q716" t="b">
        <v>1</v>
      </c>
      <c r="R716" t="s">
        <v>55</v>
      </c>
      <c r="S716" t="s">
        <v>56</v>
      </c>
      <c r="T716" t="s">
        <v>57</v>
      </c>
      <c r="U716" t="s">
        <v>51</v>
      </c>
      <c r="V716" t="s">
        <v>50</v>
      </c>
      <c r="W716" t="s">
        <v>1492</v>
      </c>
      <c r="X716" t="s">
        <v>59</v>
      </c>
      <c r="Y716">
        <v>9007199254741702</v>
      </c>
      <c r="Z716">
        <v>0</v>
      </c>
      <c r="AA716" t="s">
        <v>50</v>
      </c>
      <c r="AB716" t="b">
        <v>1</v>
      </c>
      <c r="AD716" s="3">
        <v>0.125</v>
      </c>
      <c r="AE716" s="2">
        <v>45911.5</v>
      </c>
      <c r="AF716" t="s">
        <v>60</v>
      </c>
    </row>
    <row r="717">
      <c r="A717" t="s">
        <v>1493</v>
      </c>
      <c r="B717" s="2">
        <v>45910.5</v>
      </c>
      <c r="C717" t="s">
        <v>62</v>
      </c>
      <c r="D717" t="s">
        <f>'客户档案'!B5</f>
        <v>63</v>
      </c>
      <c r="E717" t="s">
        <v>64</v>
      </c>
      <c r="F717" t="s">
        <v>65</v>
      </c>
      <c r="G717" t="s">
        <f>'商品目录'!B5</f>
        <v>66</v>
      </c>
      <c r="H717" t="s">
        <v>67</v>
      </c>
      <c r="I717">
        <v>2</v>
      </c>
      <c r="J717" s="4">
        <v>45</v>
      </c>
      <c r="K717" s="4">
        <f>I717*J717</f>
        <v>90</v>
      </c>
      <c r="L717" s="3">
        <v>0</v>
      </c>
      <c r="M717" s="4">
        <f>K717*L717</f>
        <v>0</v>
      </c>
      <c r="N717" s="4">
        <v>20</v>
      </c>
      <c r="O717" s="4">
        <f>K717-M717+N717</f>
        <v>110</v>
      </c>
      <c r="P717" t="s">
        <v>43</v>
      </c>
      <c r="Q717" t="b">
        <v>1</v>
      </c>
      <c r="R717" t="s">
        <v>55</v>
      </c>
      <c r="S717" t="s">
        <v>68</v>
      </c>
      <c r="T717" t="s">
        <v>69</v>
      </c>
      <c r="U717" t="s">
        <v>70</v>
      </c>
      <c r="V717" t="s">
        <v>63</v>
      </c>
      <c r="W717" t="s">
        <v>1494</v>
      </c>
      <c r="X717" t="s">
        <v>72</v>
      </c>
      <c r="Y717">
        <v>9007199254741703</v>
      </c>
      <c r="Z717">
        <v>0</v>
      </c>
      <c r="AA717" t="s">
        <v>63</v>
      </c>
      <c r="AB717" t="b">
        <v>0</v>
      </c>
      <c r="AD717" s="3">
        <v>0.125</v>
      </c>
      <c r="AE717" s="2">
        <v>45912.5</v>
      </c>
      <c r="AF717" t="s">
        <v>60</v>
      </c>
    </row>
    <row r="718">
      <c r="A718" t="s">
        <v>1495</v>
      </c>
      <c r="B718" s="2">
        <v>45911.5</v>
      </c>
      <c r="C718" t="s">
        <v>37</v>
      </c>
      <c r="D718" t="s">
        <f>'客户档案'!B3</f>
        <v>38</v>
      </c>
      <c r="E718" t="s">
        <v>74</v>
      </c>
      <c r="F718" t="s">
        <v>75</v>
      </c>
      <c r="G718" t="s">
        <f>'商品目录'!B6</f>
        <v>76</v>
      </c>
      <c r="H718" t="s">
        <v>77</v>
      </c>
      <c r="I718">
        <v>4</v>
      </c>
      <c r="J718" s="4">
        <v>8</v>
      </c>
      <c r="K718" s="4">
        <f>I718*J718</f>
        <v>32</v>
      </c>
      <c r="L718" s="3">
        <v>0.5</v>
      </c>
      <c r="M718" s="4">
        <f>K718*L718</f>
        <v>16</v>
      </c>
      <c r="N718" s="4">
        <v>0</v>
      </c>
      <c r="O718" s="4">
        <f>K718-M718+N718</f>
        <v>16</v>
      </c>
      <c r="P718" t="s">
        <v>43</v>
      </c>
      <c r="Q718" t="b">
        <v>1</v>
      </c>
      <c r="R718" t="s">
        <v>55</v>
      </c>
      <c r="S718" t="s">
        <v>45</v>
      </c>
      <c r="T718" t="s">
        <v>46</v>
      </c>
      <c r="U718" t="s">
        <v>78</v>
      </c>
      <c r="V718" t="s">
        <v>38</v>
      </c>
      <c r="W718" t="s">
        <v>1496</v>
      </c>
      <c r="X718" t="s">
        <v>80</v>
      </c>
      <c r="Y718">
        <v>9007199254741704</v>
      </c>
      <c r="Z718">
        <v>0</v>
      </c>
      <c r="AA718" t="s">
        <v>38</v>
      </c>
      <c r="AB718" t="b">
        <v>1</v>
      </c>
      <c r="AD718" s="3">
        <v>0.125</v>
      </c>
      <c r="AE718" s="2">
        <v>45913.5</v>
      </c>
      <c r="AF718" t="s">
        <v>60</v>
      </c>
    </row>
    <row r="719">
      <c r="A719" t="s">
        <v>1497</v>
      </c>
      <c r="B719" s="2">
        <v>45912.5</v>
      </c>
      <c r="C719" t="s">
        <v>49</v>
      </c>
      <c r="D719" t="s">
        <f>'客户档案'!B4</f>
        <v>50</v>
      </c>
      <c r="E719" t="s">
        <v>39</v>
      </c>
      <c r="F719" t="s">
        <v>40</v>
      </c>
      <c r="G719" t="s">
        <f>'商品目录'!B3</f>
        <v>41</v>
      </c>
      <c r="H719" t="s">
        <v>42</v>
      </c>
      <c r="I719">
        <v>6</v>
      </c>
      <c r="J719" s="4">
        <v>99</v>
      </c>
      <c r="K719" s="4">
        <f>I719*J719</f>
        <v>594</v>
      </c>
      <c r="L719" s="3">
        <v>0</v>
      </c>
      <c r="M719" s="4">
        <f>K719*L719</f>
        <v>0</v>
      </c>
      <c r="N719" s="4">
        <v>10</v>
      </c>
      <c r="O719" s="4">
        <f>K719-M719+N719</f>
        <v>604</v>
      </c>
      <c r="P719" t="s">
        <v>43</v>
      </c>
      <c r="Q719" t="b">
        <v>0</v>
      </c>
      <c r="R719" t="s">
        <v>44</v>
      </c>
      <c r="S719" t="s">
        <v>56</v>
      </c>
      <c r="T719" t="s">
        <v>57</v>
      </c>
      <c r="U719" t="s">
        <v>39</v>
      </c>
      <c r="V719" t="s">
        <v>50</v>
      </c>
      <c r="W719" t="s">
        <v>1498</v>
      </c>
      <c r="X719" t="s">
        <v>0</v>
      </c>
      <c r="Y719">
        <v>9007199254741705</v>
      </c>
      <c r="Z719">
        <v>0</v>
      </c>
      <c r="AA719" t="s">
        <v>50</v>
      </c>
      <c r="AB719" t="b">
        <v>0</v>
      </c>
      <c r="AD719" s="3">
        <v>0.125</v>
      </c>
      <c r="AE719" s="2">
        <v>45914.5</v>
      </c>
      <c r="AF719" t="s">
        <v>60</v>
      </c>
    </row>
    <row r="720">
      <c r="A720" t="s">
        <v>1499</v>
      </c>
      <c r="B720" s="2">
        <v>45913.5</v>
      </c>
      <c r="C720" t="s">
        <v>62</v>
      </c>
      <c r="D720" t="s">
        <f>'客户档案'!B5</f>
        <v>63</v>
      </c>
      <c r="E720" t="s">
        <v>51</v>
      </c>
      <c r="F720" t="s">
        <v>52</v>
      </c>
      <c r="G720" t="s">
        <f>'商品目录'!B4</f>
        <v>53</v>
      </c>
      <c r="H720" t="s">
        <v>54</v>
      </c>
      <c r="I720">
        <v>8</v>
      </c>
      <c r="J720" s="4">
        <v>129</v>
      </c>
      <c r="K720" s="4">
        <f>I720*J720</f>
        <v>1032</v>
      </c>
      <c r="L720" s="3">
        <v>0.5</v>
      </c>
      <c r="M720" s="4">
        <f>K720*L720</f>
        <v>516</v>
      </c>
      <c r="N720" s="4">
        <v>20</v>
      </c>
      <c r="O720" s="4">
        <f>K720-M720+N720</f>
        <v>536</v>
      </c>
      <c r="P720" t="s">
        <v>43</v>
      </c>
      <c r="Q720" t="b">
        <v>1</v>
      </c>
      <c r="R720" t="s">
        <v>55</v>
      </c>
      <c r="S720" t="s">
        <v>68</v>
      </c>
      <c r="T720" t="s">
        <v>69</v>
      </c>
      <c r="U720" t="s">
        <v>51</v>
      </c>
      <c r="V720" t="s">
        <v>63</v>
      </c>
      <c r="W720" t="s">
        <v>1500</v>
      </c>
      <c r="X720" t="s">
        <v>59</v>
      </c>
      <c r="Y720">
        <v>9007199254741706</v>
      </c>
      <c r="Z720">
        <v>0</v>
      </c>
      <c r="AA720" t="s">
        <v>63</v>
      </c>
      <c r="AB720" t="b">
        <v>1</v>
      </c>
      <c r="AD720" s="3">
        <v>0.125</v>
      </c>
      <c r="AE720" s="2">
        <v>45915.5</v>
      </c>
      <c r="AF720" t="s">
        <v>60</v>
      </c>
    </row>
    <row r="721">
      <c r="A721" t="s">
        <v>1501</v>
      </c>
      <c r="B721" s="2">
        <v>45914.5</v>
      </c>
      <c r="C721" t="s">
        <v>37</v>
      </c>
      <c r="D721" t="s">
        <f>'客户档案'!B3</f>
        <v>38</v>
      </c>
      <c r="E721" t="s">
        <v>64</v>
      </c>
      <c r="F721" t="s">
        <v>65</v>
      </c>
      <c r="G721" t="s">
        <f>'商品目录'!B5</f>
        <v>66</v>
      </c>
      <c r="H721" t="s">
        <v>67</v>
      </c>
      <c r="I721">
        <v>10</v>
      </c>
      <c r="J721" s="4">
        <v>45</v>
      </c>
      <c r="K721" s="4">
        <f>I721*J721</f>
        <v>450</v>
      </c>
      <c r="L721" s="3">
        <v>0</v>
      </c>
      <c r="M721" s="4">
        <f>K721*L721</f>
        <v>0</v>
      </c>
      <c r="N721" s="4">
        <v>0</v>
      </c>
      <c r="O721" s="4">
        <f>K721-M721+N721</f>
        <v>450</v>
      </c>
      <c r="P721" t="s">
        <v>43</v>
      </c>
      <c r="Q721" t="b">
        <v>1</v>
      </c>
      <c r="R721" t="s">
        <v>55</v>
      </c>
      <c r="S721" t="s">
        <v>45</v>
      </c>
      <c r="T721" t="s">
        <v>46</v>
      </c>
      <c r="U721" t="s">
        <v>70</v>
      </c>
      <c r="V721" t="s">
        <v>38</v>
      </c>
      <c r="W721" t="s">
        <v>1502</v>
      </c>
      <c r="X721" t="s">
        <v>72</v>
      </c>
      <c r="Y721">
        <v>9007199254741707</v>
      </c>
      <c r="Z721">
        <v>2</v>
      </c>
      <c r="AA721" t="s">
        <v>38</v>
      </c>
      <c r="AB721" t="b">
        <v>0</v>
      </c>
      <c r="AD721" s="3">
        <v>0.125</v>
      </c>
      <c r="AE721" s="2">
        <v>45916.5</v>
      </c>
      <c r="AF721" t="s">
        <v>60</v>
      </c>
    </row>
    <row r="722">
      <c r="A722" t="s">
        <v>1503</v>
      </c>
      <c r="B722" s="2">
        <v>45915.5</v>
      </c>
      <c r="C722" t="s">
        <v>49</v>
      </c>
      <c r="D722" t="s">
        <f>'客户档案'!B4</f>
        <v>50</v>
      </c>
      <c r="E722" t="s">
        <v>74</v>
      </c>
      <c r="F722" t="s">
        <v>75</v>
      </c>
      <c r="G722" t="s">
        <f>'商品目录'!B6</f>
        <v>76</v>
      </c>
      <c r="H722" t="s">
        <v>77</v>
      </c>
      <c r="I722">
        <v>2</v>
      </c>
      <c r="J722" s="4">
        <v>8</v>
      </c>
      <c r="K722" s="4">
        <f>I722*J722</f>
        <v>16</v>
      </c>
      <c r="L722" s="3">
        <v>0.5</v>
      </c>
      <c r="M722" s="4">
        <f>K722*L722</f>
        <v>8</v>
      </c>
      <c r="N722" s="4">
        <v>10</v>
      </c>
      <c r="O722" s="4">
        <f>K722-M722+N722</f>
        <v>18</v>
      </c>
      <c r="P722" t="s">
        <v>43</v>
      </c>
      <c r="Q722" t="b">
        <v>1</v>
      </c>
      <c r="R722" t="s">
        <v>55</v>
      </c>
      <c r="S722" t="s">
        <v>56</v>
      </c>
      <c r="T722" t="s">
        <v>57</v>
      </c>
      <c r="U722" t="s">
        <v>78</v>
      </c>
      <c r="V722" t="s">
        <v>50</v>
      </c>
      <c r="W722" t="s">
        <v>1504</v>
      </c>
      <c r="X722" t="s">
        <v>80</v>
      </c>
      <c r="Y722">
        <v>9007199254741708</v>
      </c>
      <c r="Z722">
        <v>0</v>
      </c>
      <c r="AA722" t="s">
        <v>50</v>
      </c>
      <c r="AB722" t="b">
        <v>1</v>
      </c>
      <c r="AD722" s="3">
        <v>0.125</v>
      </c>
      <c r="AE722" s="2">
        <v>45917.5</v>
      </c>
      <c r="AF722" t="s">
        <v>60</v>
      </c>
    </row>
    <row r="723">
      <c r="A723" t="s">
        <v>1505</v>
      </c>
      <c r="B723" s="2">
        <v>45916.5</v>
      </c>
      <c r="C723" t="s">
        <v>62</v>
      </c>
      <c r="D723" t="s">
        <f>'客户档案'!B5</f>
        <v>63</v>
      </c>
      <c r="E723" t="s">
        <v>39</v>
      </c>
      <c r="F723" t="s">
        <v>40</v>
      </c>
      <c r="G723" t="s">
        <f>'商品目录'!B3</f>
        <v>41</v>
      </c>
      <c r="H723" t="s">
        <v>42</v>
      </c>
      <c r="I723">
        <v>4</v>
      </c>
      <c r="J723" s="4">
        <v>99</v>
      </c>
      <c r="K723" s="4">
        <f>I723*J723</f>
        <v>396</v>
      </c>
      <c r="L723" s="3">
        <v>0</v>
      </c>
      <c r="M723" s="4">
        <f>K723*L723</f>
        <v>0</v>
      </c>
      <c r="N723" s="4">
        <v>20</v>
      </c>
      <c r="O723" s="4">
        <f>K723-M723+N723</f>
        <v>416</v>
      </c>
      <c r="P723" t="s">
        <v>43</v>
      </c>
      <c r="Q723" t="b">
        <v>0</v>
      </c>
      <c r="R723" t="s">
        <v>44</v>
      </c>
      <c r="S723" t="s">
        <v>68</v>
      </c>
      <c r="T723" t="s">
        <v>69</v>
      </c>
      <c r="U723" t="s">
        <v>39</v>
      </c>
      <c r="V723" t="s">
        <v>63</v>
      </c>
      <c r="W723" t="s">
        <v>1506</v>
      </c>
      <c r="X723" t="s">
        <v>0</v>
      </c>
      <c r="Y723">
        <v>9007199254741709</v>
      </c>
      <c r="Z723">
        <v>0</v>
      </c>
      <c r="AA723" t="s">
        <v>63</v>
      </c>
      <c r="AB723" t="b">
        <v>0</v>
      </c>
      <c r="AD723" s="3">
        <v>0.125</v>
      </c>
      <c r="AE723" s="2">
        <v>45918.5</v>
      </c>
      <c r="AF723" t="s">
        <v>60</v>
      </c>
    </row>
    <row r="724">
      <c r="A724" t="s">
        <v>1507</v>
      </c>
      <c r="B724" s="2">
        <v>45917.5</v>
      </c>
      <c r="C724" t="s">
        <v>37</v>
      </c>
      <c r="D724" t="s">
        <f>'客户档案'!B3</f>
        <v>38</v>
      </c>
      <c r="E724" t="s">
        <v>51</v>
      </c>
      <c r="F724" t="s">
        <v>52</v>
      </c>
      <c r="G724" t="s">
        <f>'商品目录'!B4</f>
        <v>53</v>
      </c>
      <c r="H724" t="s">
        <v>54</v>
      </c>
      <c r="I724">
        <v>6</v>
      </c>
      <c r="J724" s="4">
        <v>129</v>
      </c>
      <c r="K724" s="4">
        <f>I724*J724</f>
        <v>774</v>
      </c>
      <c r="L724" s="3">
        <v>0.5</v>
      </c>
      <c r="M724" s="4">
        <f>K724*L724</f>
        <v>387</v>
      </c>
      <c r="N724" s="4">
        <v>0</v>
      </c>
      <c r="O724" s="4">
        <f>K724-M724+N724</f>
        <v>387</v>
      </c>
      <c r="P724" t="s">
        <v>43</v>
      </c>
      <c r="Q724" t="b">
        <v>1</v>
      </c>
      <c r="R724" t="s">
        <v>55</v>
      </c>
      <c r="S724" t="s">
        <v>45</v>
      </c>
      <c r="T724" t="s">
        <v>46</v>
      </c>
      <c r="U724" t="s">
        <v>51</v>
      </c>
      <c r="V724" t="s">
        <v>38</v>
      </c>
      <c r="W724" t="s">
        <v>1508</v>
      </c>
      <c r="X724" t="s">
        <v>59</v>
      </c>
      <c r="Y724">
        <v>9007199254741710</v>
      </c>
      <c r="Z724">
        <v>0</v>
      </c>
      <c r="AA724" t="s">
        <v>38</v>
      </c>
      <c r="AB724" t="b">
        <v>1</v>
      </c>
      <c r="AD724" s="3">
        <v>0.125</v>
      </c>
      <c r="AE724" s="2">
        <v>45919.5</v>
      </c>
      <c r="AF724" t="s">
        <v>60</v>
      </c>
    </row>
    <row r="725">
      <c r="A725" t="s">
        <v>1509</v>
      </c>
      <c r="B725" s="2">
        <v>45918.5</v>
      </c>
      <c r="C725" t="s">
        <v>49</v>
      </c>
      <c r="D725" t="s">
        <f>'客户档案'!B4</f>
        <v>50</v>
      </c>
      <c r="E725" t="s">
        <v>64</v>
      </c>
      <c r="F725" t="s">
        <v>65</v>
      </c>
      <c r="G725" t="s">
        <f>'商品目录'!B5</f>
        <v>66</v>
      </c>
      <c r="H725" t="s">
        <v>67</v>
      </c>
      <c r="I725">
        <v>8</v>
      </c>
      <c r="J725" s="4">
        <v>45</v>
      </c>
      <c r="K725" s="4">
        <f>I725*J725</f>
        <v>360</v>
      </c>
      <c r="L725" s="3">
        <v>0</v>
      </c>
      <c r="M725" s="4">
        <f>K725*L725</f>
        <v>0</v>
      </c>
      <c r="N725" s="4">
        <v>10</v>
      </c>
      <c r="O725" s="4">
        <f>K725-M725+N725</f>
        <v>370</v>
      </c>
      <c r="P725" t="s">
        <v>43</v>
      </c>
      <c r="Q725" t="b">
        <v>1</v>
      </c>
      <c r="R725" t="s">
        <v>55</v>
      </c>
      <c r="S725" t="s">
        <v>56</v>
      </c>
      <c r="T725" t="s">
        <v>57</v>
      </c>
      <c r="U725" t="s">
        <v>70</v>
      </c>
      <c r="V725" t="s">
        <v>50</v>
      </c>
      <c r="W725" t="s">
        <v>1510</v>
      </c>
      <c r="X725" t="s">
        <v>72</v>
      </c>
      <c r="Y725">
        <v>9007199254741711</v>
      </c>
      <c r="Z725">
        <v>0</v>
      </c>
      <c r="AA725" t="s">
        <v>50</v>
      </c>
      <c r="AB725" t="b">
        <v>0</v>
      </c>
      <c r="AD725" s="3">
        <v>0.125</v>
      </c>
      <c r="AE725" s="2">
        <v>45920.5</v>
      </c>
      <c r="AF725" t="s">
        <v>60</v>
      </c>
    </row>
    <row r="726">
      <c r="A726" t="s">
        <v>1511</v>
      </c>
      <c r="B726" s="2">
        <v>45919.5</v>
      </c>
      <c r="C726" t="s">
        <v>62</v>
      </c>
      <c r="D726" t="s">
        <f>'客户档案'!B5</f>
        <v>63</v>
      </c>
      <c r="E726" t="s">
        <v>74</v>
      </c>
      <c r="F726" t="s">
        <v>75</v>
      </c>
      <c r="G726" t="s">
        <f>'商品目录'!B6</f>
        <v>76</v>
      </c>
      <c r="H726" t="s">
        <v>77</v>
      </c>
      <c r="I726">
        <v>10</v>
      </c>
      <c r="J726" s="4">
        <v>8</v>
      </c>
      <c r="K726" s="4">
        <f>I726*J726</f>
        <v>80</v>
      </c>
      <c r="L726" s="3">
        <v>0.5</v>
      </c>
      <c r="M726" s="4">
        <f>K726*L726</f>
        <v>40</v>
      </c>
      <c r="N726" s="4">
        <v>20</v>
      </c>
      <c r="O726" s="4">
        <f>K726-M726+N726</f>
        <v>60</v>
      </c>
      <c r="P726" t="s">
        <v>43</v>
      </c>
      <c r="Q726" t="b">
        <v>1</v>
      </c>
      <c r="R726" t="s">
        <v>55</v>
      </c>
      <c r="S726" t="s">
        <v>68</v>
      </c>
      <c r="T726" t="s">
        <v>69</v>
      </c>
      <c r="U726" t="s">
        <v>78</v>
      </c>
      <c r="V726" t="s">
        <v>63</v>
      </c>
      <c r="W726" t="s">
        <v>1512</v>
      </c>
      <c r="X726" t="s">
        <v>80</v>
      </c>
      <c r="Y726">
        <v>9007199254741712</v>
      </c>
      <c r="Z726">
        <v>0</v>
      </c>
      <c r="AA726" t="s">
        <v>63</v>
      </c>
      <c r="AB726" t="b">
        <v>1</v>
      </c>
      <c r="AD726" s="3">
        <v>0.125</v>
      </c>
      <c r="AE726" s="2">
        <v>45921.5</v>
      </c>
      <c r="AF726" t="s">
        <v>60</v>
      </c>
    </row>
    <row r="727">
      <c r="A727" t="s">
        <v>1513</v>
      </c>
      <c r="B727" s="2">
        <v>45920.5</v>
      </c>
      <c r="C727" t="s">
        <v>37</v>
      </c>
      <c r="D727" t="s">
        <f>'客户档案'!B3</f>
        <v>38</v>
      </c>
      <c r="E727" t="s">
        <v>39</v>
      </c>
      <c r="F727" t="s">
        <v>40</v>
      </c>
      <c r="G727" t="s">
        <f>'商品目录'!B3</f>
        <v>41</v>
      </c>
      <c r="H727" t="s">
        <v>42</v>
      </c>
      <c r="I727">
        <v>2</v>
      </c>
      <c r="J727" s="4">
        <v>99</v>
      </c>
      <c r="K727" s="4">
        <f>I727*J727</f>
        <v>198</v>
      </c>
      <c r="L727" s="3">
        <v>0</v>
      </c>
      <c r="M727" s="4">
        <f>K727*L727</f>
        <v>0</v>
      </c>
      <c r="N727" s="4">
        <v>0</v>
      </c>
      <c r="O727" s="4">
        <f>K727-M727+N727</f>
        <v>198</v>
      </c>
      <c r="P727" t="s">
        <v>43</v>
      </c>
      <c r="Q727" t="b">
        <v>0</v>
      </c>
      <c r="R727" t="s">
        <v>44</v>
      </c>
      <c r="S727" t="s">
        <v>45</v>
      </c>
      <c r="T727" t="s">
        <v>46</v>
      </c>
      <c r="U727" t="s">
        <v>39</v>
      </c>
      <c r="V727" t="s">
        <v>38</v>
      </c>
      <c r="W727" t="s">
        <v>1514</v>
      </c>
      <c r="X727" t="s">
        <v>0</v>
      </c>
      <c r="Y727">
        <v>9007199254741713</v>
      </c>
      <c r="Z727">
        <v>0</v>
      </c>
      <c r="AA727" t="s">
        <v>38</v>
      </c>
      <c r="AB727" t="b">
        <v>0</v>
      </c>
      <c r="AD727" s="3">
        <v>0.125</v>
      </c>
      <c r="AE727" s="2">
        <v>45922.5</v>
      </c>
      <c r="AF727" t="s">
        <v>60</v>
      </c>
    </row>
    <row r="728">
      <c r="A728" t="s">
        <v>1515</v>
      </c>
      <c r="B728" s="2">
        <v>45921.5</v>
      </c>
      <c r="C728" t="s">
        <v>49</v>
      </c>
      <c r="D728" t="s">
        <f>'客户档案'!B4</f>
        <v>50</v>
      </c>
      <c r="E728" t="s">
        <v>51</v>
      </c>
      <c r="F728" t="s">
        <v>52</v>
      </c>
      <c r="G728" t="s">
        <f>'商品目录'!B4</f>
        <v>53</v>
      </c>
      <c r="H728" t="s">
        <v>54</v>
      </c>
      <c r="I728">
        <v>4</v>
      </c>
      <c r="J728" s="4">
        <v>129</v>
      </c>
      <c r="K728" s="4">
        <f>I728*J728</f>
        <v>516</v>
      </c>
      <c r="L728" s="3">
        <v>0.5</v>
      </c>
      <c r="M728" s="4">
        <f>K728*L728</f>
        <v>258</v>
      </c>
      <c r="N728" s="4">
        <v>10</v>
      </c>
      <c r="O728" s="4">
        <f>K728-M728+N728</f>
        <v>268</v>
      </c>
      <c r="P728" t="s">
        <v>43</v>
      </c>
      <c r="Q728" t="b">
        <v>1</v>
      </c>
      <c r="R728" t="s">
        <v>55</v>
      </c>
      <c r="S728" t="s">
        <v>56</v>
      </c>
      <c r="T728" t="s">
        <v>57</v>
      </c>
      <c r="U728" t="s">
        <v>51</v>
      </c>
      <c r="V728" t="s">
        <v>50</v>
      </c>
      <c r="W728" t="s">
        <v>1516</v>
      </c>
      <c r="X728" t="s">
        <v>59</v>
      </c>
      <c r="Y728">
        <v>9007199254741714</v>
      </c>
      <c r="Z728">
        <v>0</v>
      </c>
      <c r="AA728" t="s">
        <v>50</v>
      </c>
      <c r="AB728" t="b">
        <v>1</v>
      </c>
      <c r="AD728" s="3">
        <v>0.125</v>
      </c>
      <c r="AE728" s="2">
        <v>45923.5</v>
      </c>
      <c r="AF728" t="s">
        <v>60</v>
      </c>
    </row>
    <row r="729">
      <c r="A729" t="s">
        <v>1517</v>
      </c>
      <c r="B729" s="2">
        <v>45922.5</v>
      </c>
      <c r="C729" t="s">
        <v>62</v>
      </c>
      <c r="D729" t="s">
        <f>'客户档案'!B5</f>
        <v>63</v>
      </c>
      <c r="E729" t="s">
        <v>64</v>
      </c>
      <c r="F729" t="s">
        <v>65</v>
      </c>
      <c r="G729" t="s">
        <f>'商品目录'!B5</f>
        <v>66</v>
      </c>
      <c r="H729" t="s">
        <v>67</v>
      </c>
      <c r="I729">
        <v>6</v>
      </c>
      <c r="J729" s="4">
        <v>45</v>
      </c>
      <c r="K729" s="4">
        <f>I729*J729</f>
        <v>270</v>
      </c>
      <c r="L729" s="3">
        <v>0</v>
      </c>
      <c r="M729" s="4">
        <f>K729*L729</f>
        <v>0</v>
      </c>
      <c r="N729" s="4">
        <v>20</v>
      </c>
      <c r="O729" s="4">
        <f>K729-M729+N729</f>
        <v>290</v>
      </c>
      <c r="P729" t="s">
        <v>43</v>
      </c>
      <c r="Q729" t="b">
        <v>1</v>
      </c>
      <c r="R729" t="s">
        <v>55</v>
      </c>
      <c r="S729" t="s">
        <v>68</v>
      </c>
      <c r="T729" t="s">
        <v>69</v>
      </c>
      <c r="U729" t="s">
        <v>70</v>
      </c>
      <c r="V729" t="s">
        <v>63</v>
      </c>
      <c r="W729" t="s">
        <v>1518</v>
      </c>
      <c r="X729" t="s">
        <v>72</v>
      </c>
      <c r="Y729">
        <v>9007199254741715</v>
      </c>
      <c r="Z729">
        <v>0</v>
      </c>
      <c r="AA729" t="s">
        <v>63</v>
      </c>
      <c r="AB729" t="b">
        <v>0</v>
      </c>
      <c r="AD729" s="3">
        <v>0.125</v>
      </c>
      <c r="AE729" s="2">
        <v>45924.5</v>
      </c>
      <c r="AF729" t="s">
        <v>60</v>
      </c>
    </row>
    <row r="730">
      <c r="A730" t="s">
        <v>1519</v>
      </c>
      <c r="B730" s="2">
        <v>45923.5</v>
      </c>
      <c r="C730" t="s">
        <v>37</v>
      </c>
      <c r="D730" t="s">
        <f>'客户档案'!B3</f>
        <v>38</v>
      </c>
      <c r="E730" t="s">
        <v>74</v>
      </c>
      <c r="F730" t="s">
        <v>75</v>
      </c>
      <c r="G730" t="s">
        <f>'商品目录'!B6</f>
        <v>76</v>
      </c>
      <c r="H730" t="s">
        <v>77</v>
      </c>
      <c r="I730">
        <v>8</v>
      </c>
      <c r="J730" s="4">
        <v>8</v>
      </c>
      <c r="K730" s="4">
        <f>I730*J730</f>
        <v>64</v>
      </c>
      <c r="L730" s="3">
        <v>0.5</v>
      </c>
      <c r="M730" s="4">
        <f>K730*L730</f>
        <v>32</v>
      </c>
      <c r="N730" s="4">
        <v>0</v>
      </c>
      <c r="O730" s="4">
        <f>K730-M730+N730</f>
        <v>32</v>
      </c>
      <c r="P730" t="s">
        <v>43</v>
      </c>
      <c r="Q730" t="b">
        <v>1</v>
      </c>
      <c r="R730" t="s">
        <v>55</v>
      </c>
      <c r="S730" t="s">
        <v>45</v>
      </c>
      <c r="T730" t="s">
        <v>46</v>
      </c>
      <c r="U730" t="s">
        <v>78</v>
      </c>
      <c r="V730" t="s">
        <v>38</v>
      </c>
      <c r="W730" t="s">
        <v>1520</v>
      </c>
      <c r="X730" t="s">
        <v>80</v>
      </c>
      <c r="Y730">
        <v>9007199254741716</v>
      </c>
      <c r="Z730">
        <v>0</v>
      </c>
      <c r="AA730" t="s">
        <v>38</v>
      </c>
      <c r="AB730" t="b">
        <v>1</v>
      </c>
      <c r="AD730" s="3">
        <v>0.125</v>
      </c>
      <c r="AE730" s="2">
        <v>45925.5</v>
      </c>
      <c r="AF730" t="s">
        <v>60</v>
      </c>
    </row>
    <row r="731">
      <c r="A731" t="s">
        <v>1521</v>
      </c>
      <c r="B731" s="2">
        <v>45924.5</v>
      </c>
      <c r="C731" t="s">
        <v>49</v>
      </c>
      <c r="D731" t="s">
        <f>'客户档案'!B4</f>
        <v>50</v>
      </c>
      <c r="E731" t="s">
        <v>39</v>
      </c>
      <c r="F731" t="s">
        <v>40</v>
      </c>
      <c r="G731" t="s">
        <f>'商品目录'!B3</f>
        <v>41</v>
      </c>
      <c r="H731" t="s">
        <v>42</v>
      </c>
      <c r="I731">
        <v>10</v>
      </c>
      <c r="J731" s="4">
        <v>99</v>
      </c>
      <c r="K731" s="4">
        <f>I731*J731</f>
        <v>990</v>
      </c>
      <c r="L731" s="3">
        <v>0</v>
      </c>
      <c r="M731" s="4">
        <f>K731*L731</f>
        <v>0</v>
      </c>
      <c r="N731" s="4">
        <v>10</v>
      </c>
      <c r="O731" s="4">
        <f>K731-M731+N731</f>
        <v>1000</v>
      </c>
      <c r="P731" t="s">
        <v>43</v>
      </c>
      <c r="Q731" t="b">
        <v>0</v>
      </c>
      <c r="R731" t="s">
        <v>44</v>
      </c>
      <c r="S731" t="s">
        <v>56</v>
      </c>
      <c r="T731" t="s">
        <v>57</v>
      </c>
      <c r="U731" t="s">
        <v>39</v>
      </c>
      <c r="V731" t="s">
        <v>50</v>
      </c>
      <c r="W731" t="s">
        <v>1522</v>
      </c>
      <c r="X731" t="s">
        <v>0</v>
      </c>
      <c r="Y731">
        <v>9007199254741717</v>
      </c>
      <c r="Z731">
        <v>0</v>
      </c>
      <c r="AA731" t="s">
        <v>50</v>
      </c>
      <c r="AB731" t="b">
        <v>0</v>
      </c>
      <c r="AD731" s="3">
        <v>0.125</v>
      </c>
      <c r="AE731" s="2">
        <v>45926.5</v>
      </c>
      <c r="AF731" t="s">
        <v>60</v>
      </c>
    </row>
    <row r="732">
      <c r="A732" t="s">
        <v>1523</v>
      </c>
      <c r="B732" s="2">
        <v>45925.5</v>
      </c>
      <c r="C732" t="s">
        <v>62</v>
      </c>
      <c r="D732" t="s">
        <f>'客户档案'!B5</f>
        <v>63</v>
      </c>
      <c r="E732" t="s">
        <v>51</v>
      </c>
      <c r="F732" t="s">
        <v>52</v>
      </c>
      <c r="G732" t="s">
        <f>'商品目录'!B4</f>
        <v>53</v>
      </c>
      <c r="H732" t="s">
        <v>54</v>
      </c>
      <c r="I732">
        <v>2</v>
      </c>
      <c r="J732" s="4">
        <v>129</v>
      </c>
      <c r="K732" s="4">
        <f>I732*J732</f>
        <v>258</v>
      </c>
      <c r="L732" s="3">
        <v>0.5</v>
      </c>
      <c r="M732" s="4">
        <f>K732*L732</f>
        <v>129</v>
      </c>
      <c r="N732" s="4">
        <v>20</v>
      </c>
      <c r="O732" s="4">
        <f>K732-M732+N732</f>
        <v>149</v>
      </c>
      <c r="P732" t="s">
        <v>43</v>
      </c>
      <c r="Q732" t="b">
        <v>1</v>
      </c>
      <c r="R732" t="s">
        <v>55</v>
      </c>
      <c r="S732" t="s">
        <v>68</v>
      </c>
      <c r="T732" t="s">
        <v>69</v>
      </c>
      <c r="U732" t="s">
        <v>51</v>
      </c>
      <c r="V732" t="s">
        <v>63</v>
      </c>
      <c r="W732" t="s">
        <v>1524</v>
      </c>
      <c r="X732" t="s">
        <v>59</v>
      </c>
      <c r="Y732">
        <v>9007199254741718</v>
      </c>
      <c r="Z732">
        <v>0</v>
      </c>
      <c r="AA732" t="s">
        <v>63</v>
      </c>
      <c r="AB732" t="b">
        <v>1</v>
      </c>
      <c r="AD732" s="3">
        <v>0.125</v>
      </c>
      <c r="AE732" s="2">
        <v>45927.5</v>
      </c>
      <c r="AF732" t="s">
        <v>60</v>
      </c>
    </row>
    <row r="733">
      <c r="A733" t="s">
        <v>1525</v>
      </c>
      <c r="B733" s="2">
        <v>45926.5</v>
      </c>
      <c r="C733" t="s">
        <v>37</v>
      </c>
      <c r="D733" t="s">
        <f>'客户档案'!B3</f>
        <v>38</v>
      </c>
      <c r="E733" t="s">
        <v>64</v>
      </c>
      <c r="F733" t="s">
        <v>65</v>
      </c>
      <c r="G733" t="s">
        <f>'商品目录'!B5</f>
        <v>66</v>
      </c>
      <c r="H733" t="s">
        <v>67</v>
      </c>
      <c r="I733">
        <v>4</v>
      </c>
      <c r="J733" s="4">
        <v>45</v>
      </c>
      <c r="K733" s="4">
        <f>I733*J733</f>
        <v>180</v>
      </c>
      <c r="L733" s="3">
        <v>0</v>
      </c>
      <c r="M733" s="4">
        <f>K733*L733</f>
        <v>0</v>
      </c>
      <c r="N733" s="4">
        <v>0</v>
      </c>
      <c r="O733" s="4">
        <f>K733-M733+N733</f>
        <v>180</v>
      </c>
      <c r="P733" t="s">
        <v>43</v>
      </c>
      <c r="Q733" t="b">
        <v>1</v>
      </c>
      <c r="R733" t="s">
        <v>55</v>
      </c>
      <c r="S733" t="s">
        <v>45</v>
      </c>
      <c r="T733" t="s">
        <v>46</v>
      </c>
      <c r="U733" t="s">
        <v>70</v>
      </c>
      <c r="V733" t="s">
        <v>38</v>
      </c>
      <c r="W733" t="s">
        <v>1526</v>
      </c>
      <c r="X733" t="s">
        <v>72</v>
      </c>
      <c r="Y733">
        <v>9007199254741719</v>
      </c>
      <c r="Z733">
        <v>0</v>
      </c>
      <c r="AA733" t="s">
        <v>38</v>
      </c>
      <c r="AB733" t="b">
        <v>0</v>
      </c>
      <c r="AD733" s="3">
        <v>0.125</v>
      </c>
      <c r="AE733" s="2">
        <v>45928.5</v>
      </c>
      <c r="AF733" t="s">
        <v>60</v>
      </c>
    </row>
    <row r="734">
      <c r="A734" t="s">
        <v>1527</v>
      </c>
      <c r="B734" s="2">
        <v>45927.5</v>
      </c>
      <c r="C734" t="s">
        <v>49</v>
      </c>
      <c r="D734" t="s">
        <f>'客户档案'!B4</f>
        <v>50</v>
      </c>
      <c r="E734" t="s">
        <v>74</v>
      </c>
      <c r="F734" t="s">
        <v>75</v>
      </c>
      <c r="G734" t="s">
        <f>'商品目录'!B6</f>
        <v>76</v>
      </c>
      <c r="H734" t="s">
        <v>77</v>
      </c>
      <c r="I734">
        <v>6</v>
      </c>
      <c r="J734" s="4">
        <v>8</v>
      </c>
      <c r="K734" s="4">
        <f>I734*J734</f>
        <v>48</v>
      </c>
      <c r="L734" s="3">
        <v>0.5</v>
      </c>
      <c r="M734" s="4">
        <f>K734*L734</f>
        <v>24</v>
      </c>
      <c r="N734" s="4">
        <v>10</v>
      </c>
      <c r="O734" s="4">
        <f>K734-M734+N734</f>
        <v>34</v>
      </c>
      <c r="P734" t="s">
        <v>43</v>
      </c>
      <c r="Q734" t="b">
        <v>1</v>
      </c>
      <c r="R734" t="s">
        <v>55</v>
      </c>
      <c r="S734" t="s">
        <v>56</v>
      </c>
      <c r="T734" t="s">
        <v>57</v>
      </c>
      <c r="U734" t="s">
        <v>78</v>
      </c>
      <c r="V734" t="s">
        <v>50</v>
      </c>
      <c r="W734" t="s">
        <v>1528</v>
      </c>
      <c r="X734" t="s">
        <v>80</v>
      </c>
      <c r="Y734">
        <v>9007199254741720</v>
      </c>
      <c r="Z734">
        <v>0</v>
      </c>
      <c r="AA734" t="s">
        <v>50</v>
      </c>
      <c r="AB734" t="b">
        <v>1</v>
      </c>
      <c r="AD734" s="3">
        <v>0.125</v>
      </c>
      <c r="AE734" s="2">
        <v>45929.5</v>
      </c>
      <c r="AF734" t="s">
        <v>60</v>
      </c>
    </row>
    <row r="735">
      <c r="A735" t="s">
        <v>1529</v>
      </c>
      <c r="B735" s="2">
        <v>45900.5</v>
      </c>
      <c r="C735" t="s">
        <v>62</v>
      </c>
      <c r="D735" t="s">
        <f>'客户档案'!B5</f>
        <v>63</v>
      </c>
      <c r="E735" t="s">
        <v>39</v>
      </c>
      <c r="F735" t="s">
        <v>40</v>
      </c>
      <c r="G735" t="s">
        <f>'商品目录'!B3</f>
        <v>41</v>
      </c>
      <c r="H735" t="s">
        <v>42</v>
      </c>
      <c r="I735">
        <v>8</v>
      </c>
      <c r="J735" s="4">
        <v>99</v>
      </c>
      <c r="K735" s="4">
        <f>I735*J735</f>
        <v>792</v>
      </c>
      <c r="L735" s="3">
        <v>0</v>
      </c>
      <c r="M735" s="4">
        <f>K735*L735</f>
        <v>0</v>
      </c>
      <c r="N735" s="4">
        <v>20</v>
      </c>
      <c r="O735" s="4">
        <f>K735-M735+N735</f>
        <v>812</v>
      </c>
      <c r="P735" t="s">
        <v>43</v>
      </c>
      <c r="Q735" t="b">
        <v>0</v>
      </c>
      <c r="R735" t="s">
        <v>44</v>
      </c>
      <c r="S735" t="s">
        <v>68</v>
      </c>
      <c r="T735" t="s">
        <v>69</v>
      </c>
      <c r="U735" t="s">
        <v>39</v>
      </c>
      <c r="V735" t="s">
        <v>63</v>
      </c>
      <c r="W735" t="s">
        <v>1530</v>
      </c>
      <c r="X735" t="s">
        <v>0</v>
      </c>
      <c r="Y735">
        <v>9007199254741721</v>
      </c>
      <c r="Z735">
        <v>0</v>
      </c>
      <c r="AA735" t="s">
        <v>63</v>
      </c>
      <c r="AB735" t="b">
        <v>0</v>
      </c>
      <c r="AD735" s="3">
        <v>0.125</v>
      </c>
      <c r="AE735" s="2">
        <v>45902.5</v>
      </c>
      <c r="AF735" t="s">
        <v>60</v>
      </c>
    </row>
    <row r="736">
      <c r="A736" t="s">
        <v>1531</v>
      </c>
      <c r="B736" s="2">
        <v>45901.5</v>
      </c>
      <c r="C736" t="s">
        <v>37</v>
      </c>
      <c r="D736" t="s">
        <f>'客户档案'!B3</f>
        <v>38</v>
      </c>
      <c r="E736" t="s">
        <v>51</v>
      </c>
      <c r="F736" t="s">
        <v>52</v>
      </c>
      <c r="G736" t="s">
        <f>'商品目录'!B4</f>
        <v>53</v>
      </c>
      <c r="H736" t="s">
        <v>54</v>
      </c>
      <c r="I736">
        <v>10</v>
      </c>
      <c r="J736" s="4">
        <v>129</v>
      </c>
      <c r="K736" s="4">
        <f>I736*J736</f>
        <v>1290</v>
      </c>
      <c r="L736" s="3">
        <v>0.5</v>
      </c>
      <c r="M736" s="4">
        <f>K736*L736</f>
        <v>645</v>
      </c>
      <c r="N736" s="4">
        <v>0</v>
      </c>
      <c r="O736" s="4">
        <f>K736-M736+N736</f>
        <v>645</v>
      </c>
      <c r="P736" t="s">
        <v>43</v>
      </c>
      <c r="Q736" t="b">
        <v>1</v>
      </c>
      <c r="R736" t="s">
        <v>55</v>
      </c>
      <c r="S736" t="s">
        <v>45</v>
      </c>
      <c r="T736" t="s">
        <v>46</v>
      </c>
      <c r="U736" t="s">
        <v>51</v>
      </c>
      <c r="V736" t="s">
        <v>38</v>
      </c>
      <c r="W736" t="s">
        <v>1532</v>
      </c>
      <c r="X736" t="s">
        <v>59</v>
      </c>
      <c r="Y736">
        <v>9007199254741722</v>
      </c>
      <c r="Z736">
        <v>0</v>
      </c>
      <c r="AA736" t="s">
        <v>38</v>
      </c>
      <c r="AB736" t="b">
        <v>1</v>
      </c>
      <c r="AD736" s="3">
        <v>0.125</v>
      </c>
      <c r="AE736" s="2">
        <v>45903.5</v>
      </c>
      <c r="AF736" t="s">
        <v>60</v>
      </c>
    </row>
    <row r="737">
      <c r="A737" t="s">
        <v>1533</v>
      </c>
      <c r="B737" s="2">
        <v>45902.5</v>
      </c>
      <c r="C737" t="s">
        <v>49</v>
      </c>
      <c r="D737" t="s">
        <f>'客户档案'!B4</f>
        <v>50</v>
      </c>
      <c r="E737" t="s">
        <v>64</v>
      </c>
      <c r="F737" t="s">
        <v>65</v>
      </c>
      <c r="G737" t="s">
        <f>'商品目录'!B5</f>
        <v>66</v>
      </c>
      <c r="H737" t="s">
        <v>67</v>
      </c>
      <c r="I737">
        <v>2</v>
      </c>
      <c r="J737" s="4">
        <v>45</v>
      </c>
      <c r="K737" s="4">
        <f>I737*J737</f>
        <v>90</v>
      </c>
      <c r="L737" s="3">
        <v>0</v>
      </c>
      <c r="M737" s="4">
        <f>K737*L737</f>
        <v>0</v>
      </c>
      <c r="N737" s="4">
        <v>10</v>
      </c>
      <c r="O737" s="4">
        <f>K737-M737+N737</f>
        <v>100</v>
      </c>
      <c r="P737" t="s">
        <v>43</v>
      </c>
      <c r="Q737" t="b">
        <v>1</v>
      </c>
      <c r="R737" t="s">
        <v>55</v>
      </c>
      <c r="S737" t="s">
        <v>56</v>
      </c>
      <c r="T737" t="s">
        <v>57</v>
      </c>
      <c r="U737" t="s">
        <v>70</v>
      </c>
      <c r="V737" t="s">
        <v>50</v>
      </c>
      <c r="W737" t="s">
        <v>1534</v>
      </c>
      <c r="X737" t="s">
        <v>72</v>
      </c>
      <c r="Y737">
        <v>9007199254741723</v>
      </c>
      <c r="Z737">
        <v>0</v>
      </c>
      <c r="AA737" t="s">
        <v>50</v>
      </c>
      <c r="AB737" t="b">
        <v>0</v>
      </c>
      <c r="AD737" s="3">
        <v>0.125</v>
      </c>
      <c r="AE737" s="2">
        <v>45904.5</v>
      </c>
      <c r="AF737" t="s">
        <v>60</v>
      </c>
    </row>
    <row r="738">
      <c r="A738" t="s">
        <v>1535</v>
      </c>
      <c r="B738" s="2">
        <v>45903.5</v>
      </c>
      <c r="C738" t="s">
        <v>62</v>
      </c>
      <c r="D738" t="s">
        <f>'客户档案'!B5</f>
        <v>63</v>
      </c>
      <c r="E738" t="s">
        <v>74</v>
      </c>
      <c r="F738" t="s">
        <v>75</v>
      </c>
      <c r="G738" t="s">
        <f>'商品目录'!B6</f>
        <v>76</v>
      </c>
      <c r="H738" t="s">
        <v>77</v>
      </c>
      <c r="I738">
        <v>4</v>
      </c>
      <c r="J738" s="4">
        <v>8</v>
      </c>
      <c r="K738" s="4">
        <f>I738*J738</f>
        <v>32</v>
      </c>
      <c r="L738" s="3">
        <v>0.5</v>
      </c>
      <c r="M738" s="4">
        <f>K738*L738</f>
        <v>16</v>
      </c>
      <c r="N738" s="4">
        <v>20</v>
      </c>
      <c r="O738" s="4">
        <f>K738-M738+N738</f>
        <v>36</v>
      </c>
      <c r="P738" t="s">
        <v>43</v>
      </c>
      <c r="Q738" t="b">
        <v>1</v>
      </c>
      <c r="R738" t="s">
        <v>55</v>
      </c>
      <c r="S738" t="s">
        <v>68</v>
      </c>
      <c r="T738" t="s">
        <v>69</v>
      </c>
      <c r="U738" t="s">
        <v>78</v>
      </c>
      <c r="V738" t="s">
        <v>63</v>
      </c>
      <c r="W738" t="s">
        <v>1536</v>
      </c>
      <c r="X738" t="s">
        <v>80</v>
      </c>
      <c r="Y738">
        <v>9007199254741724</v>
      </c>
      <c r="Z738">
        <v>2</v>
      </c>
      <c r="AA738" t="s">
        <v>63</v>
      </c>
      <c r="AB738" t="b">
        <v>1</v>
      </c>
      <c r="AD738" s="3">
        <v>0.125</v>
      </c>
      <c r="AE738" s="2">
        <v>45905.5</v>
      </c>
      <c r="AF738" t="s">
        <v>60</v>
      </c>
    </row>
    <row r="739">
      <c r="A739" t="s">
        <v>1537</v>
      </c>
      <c r="B739" s="2">
        <v>45904.5</v>
      </c>
      <c r="C739" t="s">
        <v>37</v>
      </c>
      <c r="D739" t="s">
        <f>'客户档案'!B3</f>
        <v>38</v>
      </c>
      <c r="E739" t="s">
        <v>39</v>
      </c>
      <c r="F739" t="s">
        <v>40</v>
      </c>
      <c r="G739" t="s">
        <f>'商品目录'!B3</f>
        <v>41</v>
      </c>
      <c r="H739" t="s">
        <v>42</v>
      </c>
      <c r="I739">
        <v>6</v>
      </c>
      <c r="J739" s="4">
        <v>99</v>
      </c>
      <c r="K739" s="4">
        <f>I739*J739</f>
        <v>594</v>
      </c>
      <c r="L739" s="3">
        <v>0</v>
      </c>
      <c r="M739" s="4">
        <f>K739*L739</f>
        <v>0</v>
      </c>
      <c r="N739" s="4">
        <v>0</v>
      </c>
      <c r="O739" s="4">
        <f>K739-M739+N739</f>
        <v>594</v>
      </c>
      <c r="P739" t="s">
        <v>43</v>
      </c>
      <c r="Q739" t="b">
        <v>0</v>
      </c>
      <c r="R739" t="s">
        <v>44</v>
      </c>
      <c r="S739" t="s">
        <v>45</v>
      </c>
      <c r="T739" t="s">
        <v>46</v>
      </c>
      <c r="U739" t="s">
        <v>39</v>
      </c>
      <c r="V739" t="s">
        <v>38</v>
      </c>
      <c r="W739" t="s">
        <v>1538</v>
      </c>
      <c r="X739" t="s">
        <v>0</v>
      </c>
      <c r="Y739">
        <v>9007199254741725</v>
      </c>
      <c r="Z739">
        <v>0</v>
      </c>
      <c r="AA739" t="s">
        <v>38</v>
      </c>
      <c r="AB739" t="b">
        <v>0</v>
      </c>
      <c r="AD739" s="3">
        <v>0.125</v>
      </c>
      <c r="AE739" s="2">
        <v>45906.5</v>
      </c>
      <c r="AF739" t="s">
        <v>60</v>
      </c>
    </row>
    <row r="740">
      <c r="A740" t="s">
        <v>1539</v>
      </c>
      <c r="B740" s="2">
        <v>45905.5</v>
      </c>
      <c r="C740" t="s">
        <v>49</v>
      </c>
      <c r="D740" t="s">
        <f>'客户档案'!B4</f>
        <v>50</v>
      </c>
      <c r="E740" t="s">
        <v>51</v>
      </c>
      <c r="F740" t="s">
        <v>52</v>
      </c>
      <c r="G740" t="s">
        <f>'商品目录'!B4</f>
        <v>53</v>
      </c>
      <c r="H740" t="s">
        <v>54</v>
      </c>
      <c r="I740">
        <v>8</v>
      </c>
      <c r="J740" s="4">
        <v>129</v>
      </c>
      <c r="K740" s="4">
        <f>I740*J740</f>
        <v>1032</v>
      </c>
      <c r="L740" s="3">
        <v>0.5</v>
      </c>
      <c r="M740" s="4">
        <f>K740*L740</f>
        <v>516</v>
      </c>
      <c r="N740" s="4">
        <v>10</v>
      </c>
      <c r="O740" s="4">
        <f>K740-M740+N740</f>
        <v>526</v>
      </c>
      <c r="P740" t="s">
        <v>43</v>
      </c>
      <c r="Q740" t="b">
        <v>1</v>
      </c>
      <c r="R740" t="s">
        <v>55</v>
      </c>
      <c r="S740" t="s">
        <v>56</v>
      </c>
      <c r="T740" t="s">
        <v>57</v>
      </c>
      <c r="U740" t="s">
        <v>51</v>
      </c>
      <c r="V740" t="s">
        <v>50</v>
      </c>
      <c r="W740" t="s">
        <v>1540</v>
      </c>
      <c r="X740" t="s">
        <v>59</v>
      </c>
      <c r="Y740">
        <v>9007199254741726</v>
      </c>
      <c r="Z740">
        <v>0</v>
      </c>
      <c r="AA740" t="s">
        <v>50</v>
      </c>
      <c r="AB740" t="b">
        <v>1</v>
      </c>
      <c r="AD740" s="3">
        <v>0.125</v>
      </c>
      <c r="AE740" s="2">
        <v>45907.5</v>
      </c>
      <c r="AF740" t="s">
        <v>60</v>
      </c>
    </row>
    <row r="741">
      <c r="A741" t="s">
        <v>1541</v>
      </c>
      <c r="B741" s="2">
        <v>45906.5</v>
      </c>
      <c r="C741" t="s">
        <v>62</v>
      </c>
      <c r="D741" t="s">
        <f>'客户档案'!B5</f>
        <v>63</v>
      </c>
      <c r="E741" t="s">
        <v>64</v>
      </c>
      <c r="F741" t="s">
        <v>65</v>
      </c>
      <c r="G741" t="s">
        <f>'商品目录'!B5</f>
        <v>66</v>
      </c>
      <c r="H741" t="s">
        <v>67</v>
      </c>
      <c r="I741">
        <v>10</v>
      </c>
      <c r="J741" s="4">
        <v>45</v>
      </c>
      <c r="K741" s="4">
        <f>I741*J741</f>
        <v>450</v>
      </c>
      <c r="L741" s="3">
        <v>0</v>
      </c>
      <c r="M741" s="4">
        <f>K741*L741</f>
        <v>0</v>
      </c>
      <c r="N741" s="4">
        <v>20</v>
      </c>
      <c r="O741" s="4">
        <f>K741-M741+N741</f>
        <v>470</v>
      </c>
      <c r="P741" t="s">
        <v>43</v>
      </c>
      <c r="Q741" t="b">
        <v>1</v>
      </c>
      <c r="R741" t="s">
        <v>55</v>
      </c>
      <c r="S741" t="s">
        <v>68</v>
      </c>
      <c r="T741" t="s">
        <v>69</v>
      </c>
      <c r="U741" t="s">
        <v>70</v>
      </c>
      <c r="V741" t="s">
        <v>63</v>
      </c>
      <c r="W741" t="s">
        <v>1542</v>
      </c>
      <c r="X741" t="s">
        <v>72</v>
      </c>
      <c r="Y741">
        <v>9007199254741727</v>
      </c>
      <c r="Z741">
        <v>0</v>
      </c>
      <c r="AA741" t="s">
        <v>63</v>
      </c>
      <c r="AB741" t="b">
        <v>0</v>
      </c>
      <c r="AD741" s="3">
        <v>0.125</v>
      </c>
      <c r="AE741" s="2">
        <v>45908.5</v>
      </c>
      <c r="AF741" t="s">
        <v>60</v>
      </c>
    </row>
    <row r="742">
      <c r="A742" t="s">
        <v>1543</v>
      </c>
      <c r="B742" s="2">
        <v>45907.5</v>
      </c>
      <c r="C742" t="s">
        <v>37</v>
      </c>
      <c r="D742" t="s">
        <f>'客户档案'!B3</f>
        <v>38</v>
      </c>
      <c r="E742" t="s">
        <v>74</v>
      </c>
      <c r="F742" t="s">
        <v>75</v>
      </c>
      <c r="G742" t="s">
        <f>'商品目录'!B6</f>
        <v>76</v>
      </c>
      <c r="H742" t="s">
        <v>77</v>
      </c>
      <c r="I742">
        <v>2</v>
      </c>
      <c r="J742" s="4">
        <v>8</v>
      </c>
      <c r="K742" s="4">
        <f>I742*J742</f>
        <v>16</v>
      </c>
      <c r="L742" s="3">
        <v>0.5</v>
      </c>
      <c r="M742" s="4">
        <f>K742*L742</f>
        <v>8</v>
      </c>
      <c r="N742" s="4">
        <v>0</v>
      </c>
      <c r="O742" s="4">
        <f>K742-M742+N742</f>
        <v>8</v>
      </c>
      <c r="P742" t="s">
        <v>43</v>
      </c>
      <c r="Q742" t="b">
        <v>1</v>
      </c>
      <c r="R742" t="s">
        <v>55</v>
      </c>
      <c r="S742" t="s">
        <v>45</v>
      </c>
      <c r="T742" t="s">
        <v>46</v>
      </c>
      <c r="U742" t="s">
        <v>78</v>
      </c>
      <c r="V742" t="s">
        <v>38</v>
      </c>
      <c r="W742" t="s">
        <v>1544</v>
      </c>
      <c r="X742" t="s">
        <v>80</v>
      </c>
      <c r="Y742">
        <v>9007199254741728</v>
      </c>
      <c r="Z742">
        <v>0</v>
      </c>
      <c r="AA742" t="s">
        <v>38</v>
      </c>
      <c r="AB742" t="b">
        <v>1</v>
      </c>
      <c r="AD742" s="3">
        <v>0.125</v>
      </c>
      <c r="AE742" s="2">
        <v>45909.5</v>
      </c>
      <c r="AF742" t="s">
        <v>60</v>
      </c>
    </row>
    <row r="743">
      <c r="A743" t="s">
        <v>1545</v>
      </c>
      <c r="B743" s="2">
        <v>45908.5</v>
      </c>
      <c r="C743" t="s">
        <v>49</v>
      </c>
      <c r="D743" t="s">
        <f>'客户档案'!B4</f>
        <v>50</v>
      </c>
      <c r="E743" t="s">
        <v>39</v>
      </c>
      <c r="F743" t="s">
        <v>40</v>
      </c>
      <c r="G743" t="s">
        <f>'商品目录'!B3</f>
        <v>41</v>
      </c>
      <c r="H743" t="s">
        <v>42</v>
      </c>
      <c r="I743">
        <v>4</v>
      </c>
      <c r="J743" s="4">
        <v>99</v>
      </c>
      <c r="K743" s="4">
        <f>I743*J743</f>
        <v>396</v>
      </c>
      <c r="L743" s="3">
        <v>0</v>
      </c>
      <c r="M743" s="4">
        <f>K743*L743</f>
        <v>0</v>
      </c>
      <c r="N743" s="4">
        <v>10</v>
      </c>
      <c r="O743" s="4">
        <f>K743-M743+N743</f>
        <v>406</v>
      </c>
      <c r="P743" t="s">
        <v>43</v>
      </c>
      <c r="Q743" t="b">
        <v>0</v>
      </c>
      <c r="R743" t="s">
        <v>44</v>
      </c>
      <c r="S743" t="s">
        <v>56</v>
      </c>
      <c r="T743" t="s">
        <v>57</v>
      </c>
      <c r="U743" t="s">
        <v>39</v>
      </c>
      <c r="V743" t="s">
        <v>50</v>
      </c>
      <c r="W743" t="s">
        <v>1546</v>
      </c>
      <c r="X743" t="s">
        <v>0</v>
      </c>
      <c r="Y743">
        <v>9007199254741729</v>
      </c>
      <c r="Z743">
        <v>0</v>
      </c>
      <c r="AA743" t="s">
        <v>50</v>
      </c>
      <c r="AB743" t="b">
        <v>0</v>
      </c>
      <c r="AD743" s="3">
        <v>0.125</v>
      </c>
      <c r="AE743" s="2">
        <v>45910.5</v>
      </c>
      <c r="AF743" t="s">
        <v>60</v>
      </c>
    </row>
    <row r="744">
      <c r="A744" t="s">
        <v>1547</v>
      </c>
      <c r="B744" s="2">
        <v>45909.5</v>
      </c>
      <c r="C744" t="s">
        <v>62</v>
      </c>
      <c r="D744" t="s">
        <f>'客户档案'!B5</f>
        <v>63</v>
      </c>
      <c r="E744" t="s">
        <v>51</v>
      </c>
      <c r="F744" t="s">
        <v>52</v>
      </c>
      <c r="G744" t="s">
        <f>'商品目录'!B4</f>
        <v>53</v>
      </c>
      <c r="H744" t="s">
        <v>54</v>
      </c>
      <c r="I744">
        <v>6</v>
      </c>
      <c r="J744" s="4">
        <v>129</v>
      </c>
      <c r="K744" s="4">
        <f>I744*J744</f>
        <v>774</v>
      </c>
      <c r="L744" s="3">
        <v>0.5</v>
      </c>
      <c r="M744" s="4">
        <f>K744*L744</f>
        <v>387</v>
      </c>
      <c r="N744" s="4">
        <v>20</v>
      </c>
      <c r="O744" s="4">
        <f>K744-M744+N744</f>
        <v>407</v>
      </c>
      <c r="P744" t="s">
        <v>43</v>
      </c>
      <c r="Q744" t="b">
        <v>1</v>
      </c>
      <c r="R744" t="s">
        <v>55</v>
      </c>
      <c r="S744" t="s">
        <v>68</v>
      </c>
      <c r="T744" t="s">
        <v>69</v>
      </c>
      <c r="U744" t="s">
        <v>51</v>
      </c>
      <c r="V744" t="s">
        <v>63</v>
      </c>
      <c r="W744" t="s">
        <v>1548</v>
      </c>
      <c r="X744" t="s">
        <v>59</v>
      </c>
      <c r="Y744">
        <v>9007199254741730</v>
      </c>
      <c r="Z744">
        <v>0</v>
      </c>
      <c r="AA744" t="s">
        <v>63</v>
      </c>
      <c r="AB744" t="b">
        <v>1</v>
      </c>
      <c r="AD744" s="3">
        <v>0.125</v>
      </c>
      <c r="AE744" s="2">
        <v>45911.5</v>
      </c>
      <c r="AF744" t="s">
        <v>60</v>
      </c>
    </row>
    <row r="745">
      <c r="A745" t="s">
        <v>1549</v>
      </c>
      <c r="B745" s="2">
        <v>45910.5</v>
      </c>
      <c r="C745" t="s">
        <v>37</v>
      </c>
      <c r="D745" t="s">
        <f>'客户档案'!B3</f>
        <v>38</v>
      </c>
      <c r="E745" t="s">
        <v>64</v>
      </c>
      <c r="F745" t="s">
        <v>65</v>
      </c>
      <c r="G745" t="s">
        <f>'商品目录'!B5</f>
        <v>66</v>
      </c>
      <c r="H745" t="s">
        <v>67</v>
      </c>
      <c r="I745">
        <v>8</v>
      </c>
      <c r="J745" s="4">
        <v>45</v>
      </c>
      <c r="K745" s="4">
        <f>I745*J745</f>
        <v>360</v>
      </c>
      <c r="L745" s="3">
        <v>0</v>
      </c>
      <c r="M745" s="4">
        <f>K745*L745</f>
        <v>0</v>
      </c>
      <c r="N745" s="4">
        <v>0</v>
      </c>
      <c r="O745" s="4">
        <f>K745-M745+N745</f>
        <v>360</v>
      </c>
      <c r="P745" t="s">
        <v>43</v>
      </c>
      <c r="Q745" t="b">
        <v>1</v>
      </c>
      <c r="R745" t="s">
        <v>55</v>
      </c>
      <c r="S745" t="s">
        <v>45</v>
      </c>
      <c r="T745" t="s">
        <v>46</v>
      </c>
      <c r="U745" t="s">
        <v>70</v>
      </c>
      <c r="V745" t="s">
        <v>38</v>
      </c>
      <c r="W745" t="s">
        <v>1550</v>
      </c>
      <c r="X745" t="s">
        <v>72</v>
      </c>
      <c r="Y745">
        <v>9007199254741731</v>
      </c>
      <c r="Z745">
        <v>0</v>
      </c>
      <c r="AA745" t="s">
        <v>38</v>
      </c>
      <c r="AB745" t="b">
        <v>0</v>
      </c>
      <c r="AD745" s="3">
        <v>0.125</v>
      </c>
      <c r="AE745" s="2">
        <v>45912.5</v>
      </c>
      <c r="AF745" t="s">
        <v>60</v>
      </c>
    </row>
    <row r="746">
      <c r="A746" t="s">
        <v>1551</v>
      </c>
      <c r="B746" s="2">
        <v>45911.5</v>
      </c>
      <c r="C746" t="s">
        <v>49</v>
      </c>
      <c r="D746" t="s">
        <f>'客户档案'!B4</f>
        <v>50</v>
      </c>
      <c r="E746" t="s">
        <v>74</v>
      </c>
      <c r="F746" t="s">
        <v>75</v>
      </c>
      <c r="G746" t="s">
        <f>'商品目录'!B6</f>
        <v>76</v>
      </c>
      <c r="H746" t="s">
        <v>77</v>
      </c>
      <c r="I746">
        <v>10</v>
      </c>
      <c r="J746" s="4">
        <v>8</v>
      </c>
      <c r="K746" s="4">
        <f>I746*J746</f>
        <v>80</v>
      </c>
      <c r="L746" s="3">
        <v>0.5</v>
      </c>
      <c r="M746" s="4">
        <f>K746*L746</f>
        <v>40</v>
      </c>
      <c r="N746" s="4">
        <v>10</v>
      </c>
      <c r="O746" s="4">
        <f>K746-M746+N746</f>
        <v>50</v>
      </c>
      <c r="P746" t="s">
        <v>43</v>
      </c>
      <c r="Q746" t="b">
        <v>1</v>
      </c>
      <c r="R746" t="s">
        <v>55</v>
      </c>
      <c r="S746" t="s">
        <v>56</v>
      </c>
      <c r="T746" t="s">
        <v>57</v>
      </c>
      <c r="U746" t="s">
        <v>78</v>
      </c>
      <c r="V746" t="s">
        <v>50</v>
      </c>
      <c r="W746" t="s">
        <v>1552</v>
      </c>
      <c r="X746" t="s">
        <v>80</v>
      </c>
      <c r="Y746">
        <v>9007199254741732</v>
      </c>
      <c r="Z746">
        <v>0</v>
      </c>
      <c r="AA746" t="s">
        <v>50</v>
      </c>
      <c r="AB746" t="b">
        <v>1</v>
      </c>
      <c r="AD746" s="3">
        <v>0.125</v>
      </c>
      <c r="AE746" s="2">
        <v>45913.5</v>
      </c>
      <c r="AF746" t="s">
        <v>60</v>
      </c>
    </row>
    <row r="747">
      <c r="A747" t="s">
        <v>1553</v>
      </c>
      <c r="B747" s="2">
        <v>45912.5</v>
      </c>
      <c r="C747" t="s">
        <v>62</v>
      </c>
      <c r="D747" t="s">
        <f>'客户档案'!B5</f>
        <v>63</v>
      </c>
      <c r="E747" t="s">
        <v>39</v>
      </c>
      <c r="F747" t="s">
        <v>40</v>
      </c>
      <c r="G747" t="s">
        <f>'商品目录'!B3</f>
        <v>41</v>
      </c>
      <c r="H747" t="s">
        <v>42</v>
      </c>
      <c r="I747">
        <v>2</v>
      </c>
      <c r="J747" s="4">
        <v>99</v>
      </c>
      <c r="K747" s="4">
        <f>I747*J747</f>
        <v>198</v>
      </c>
      <c r="L747" s="3">
        <v>0</v>
      </c>
      <c r="M747" s="4">
        <f>K747*L747</f>
        <v>0</v>
      </c>
      <c r="N747" s="4">
        <v>20</v>
      </c>
      <c r="O747" s="4">
        <f>K747-M747+N747</f>
        <v>218</v>
      </c>
      <c r="P747" t="s">
        <v>43</v>
      </c>
      <c r="Q747" t="b">
        <v>0</v>
      </c>
      <c r="R747" t="s">
        <v>44</v>
      </c>
      <c r="S747" t="s">
        <v>68</v>
      </c>
      <c r="T747" t="s">
        <v>69</v>
      </c>
      <c r="U747" t="s">
        <v>39</v>
      </c>
      <c r="V747" t="s">
        <v>63</v>
      </c>
      <c r="W747" t="s">
        <v>1554</v>
      </c>
      <c r="X747" t="s">
        <v>0</v>
      </c>
      <c r="Y747">
        <v>9007199254741733</v>
      </c>
      <c r="Z747">
        <v>0</v>
      </c>
      <c r="AA747" t="s">
        <v>63</v>
      </c>
      <c r="AB747" t="b">
        <v>0</v>
      </c>
      <c r="AD747" s="3">
        <v>0.125</v>
      </c>
      <c r="AE747" s="2">
        <v>45914.5</v>
      </c>
      <c r="AF747" t="s">
        <v>60</v>
      </c>
    </row>
    <row r="748">
      <c r="A748" t="s">
        <v>1555</v>
      </c>
      <c r="B748" s="2">
        <v>45913.5</v>
      </c>
      <c r="C748" t="s">
        <v>37</v>
      </c>
      <c r="D748" t="s">
        <f>'客户档案'!B3</f>
        <v>38</v>
      </c>
      <c r="E748" t="s">
        <v>51</v>
      </c>
      <c r="F748" t="s">
        <v>52</v>
      </c>
      <c r="G748" t="s">
        <f>'商品目录'!B4</f>
        <v>53</v>
      </c>
      <c r="H748" t="s">
        <v>54</v>
      </c>
      <c r="I748">
        <v>4</v>
      </c>
      <c r="J748" s="4">
        <v>129</v>
      </c>
      <c r="K748" s="4">
        <f>I748*J748</f>
        <v>516</v>
      </c>
      <c r="L748" s="3">
        <v>0.5</v>
      </c>
      <c r="M748" s="4">
        <f>K748*L748</f>
        <v>258</v>
      </c>
      <c r="N748" s="4">
        <v>0</v>
      </c>
      <c r="O748" s="4">
        <f>K748-M748+N748</f>
        <v>258</v>
      </c>
      <c r="P748" t="s">
        <v>43</v>
      </c>
      <c r="Q748" t="b">
        <v>1</v>
      </c>
      <c r="R748" t="s">
        <v>55</v>
      </c>
      <c r="S748" t="s">
        <v>45</v>
      </c>
      <c r="T748" t="s">
        <v>46</v>
      </c>
      <c r="U748" t="s">
        <v>51</v>
      </c>
      <c r="V748" t="s">
        <v>38</v>
      </c>
      <c r="W748" t="s">
        <v>1556</v>
      </c>
      <c r="X748" t="s">
        <v>59</v>
      </c>
      <c r="Y748">
        <v>9007199254741734</v>
      </c>
      <c r="Z748">
        <v>0</v>
      </c>
      <c r="AA748" t="s">
        <v>38</v>
      </c>
      <c r="AB748" t="b">
        <v>1</v>
      </c>
      <c r="AD748" s="3">
        <v>0.125</v>
      </c>
      <c r="AE748" s="2">
        <v>45915.5</v>
      </c>
      <c r="AF748" t="s">
        <v>60</v>
      </c>
    </row>
    <row r="749">
      <c r="A749" t="s">
        <v>1557</v>
      </c>
      <c r="B749" s="2">
        <v>45914.5</v>
      </c>
      <c r="C749" t="s">
        <v>49</v>
      </c>
      <c r="D749" t="s">
        <f>'客户档案'!B4</f>
        <v>50</v>
      </c>
      <c r="E749" t="s">
        <v>64</v>
      </c>
      <c r="F749" t="s">
        <v>65</v>
      </c>
      <c r="G749" t="s">
        <f>'商品目录'!B5</f>
        <v>66</v>
      </c>
      <c r="H749" t="s">
        <v>67</v>
      </c>
      <c r="I749">
        <v>6</v>
      </c>
      <c r="J749" s="4">
        <v>45</v>
      </c>
      <c r="K749" s="4">
        <f>I749*J749</f>
        <v>270</v>
      </c>
      <c r="L749" s="3">
        <v>0</v>
      </c>
      <c r="M749" s="4">
        <f>K749*L749</f>
        <v>0</v>
      </c>
      <c r="N749" s="4">
        <v>10</v>
      </c>
      <c r="O749" s="4">
        <f>K749-M749+N749</f>
        <v>280</v>
      </c>
      <c r="P749" t="s">
        <v>43</v>
      </c>
      <c r="Q749" t="b">
        <v>1</v>
      </c>
      <c r="R749" t="s">
        <v>55</v>
      </c>
      <c r="S749" t="s">
        <v>56</v>
      </c>
      <c r="T749" t="s">
        <v>57</v>
      </c>
      <c r="U749" t="s">
        <v>70</v>
      </c>
      <c r="V749" t="s">
        <v>50</v>
      </c>
      <c r="W749" t="s">
        <v>1558</v>
      </c>
      <c r="X749" t="s">
        <v>72</v>
      </c>
      <c r="Y749">
        <v>9007199254741735</v>
      </c>
      <c r="Z749">
        <v>0</v>
      </c>
      <c r="AA749" t="s">
        <v>50</v>
      </c>
      <c r="AB749" t="b">
        <v>0</v>
      </c>
      <c r="AD749" s="3">
        <v>0.125</v>
      </c>
      <c r="AE749" s="2">
        <v>45916.5</v>
      </c>
      <c r="AF749" t="s">
        <v>60</v>
      </c>
    </row>
    <row r="750">
      <c r="A750" t="s">
        <v>1559</v>
      </c>
      <c r="B750" s="2">
        <v>45915.5</v>
      </c>
      <c r="C750" t="s">
        <v>62</v>
      </c>
      <c r="D750" t="s">
        <f>'客户档案'!B5</f>
        <v>63</v>
      </c>
      <c r="E750" t="s">
        <v>74</v>
      </c>
      <c r="F750" t="s">
        <v>75</v>
      </c>
      <c r="G750" t="s">
        <f>'商品目录'!B6</f>
        <v>76</v>
      </c>
      <c r="H750" t="s">
        <v>77</v>
      </c>
      <c r="I750">
        <v>8</v>
      </c>
      <c r="J750" s="4">
        <v>8</v>
      </c>
      <c r="K750" s="4">
        <f>I750*J750</f>
        <v>64</v>
      </c>
      <c r="L750" s="3">
        <v>0.5</v>
      </c>
      <c r="M750" s="4">
        <f>K750*L750</f>
        <v>32</v>
      </c>
      <c r="N750" s="4">
        <v>20</v>
      </c>
      <c r="O750" s="4">
        <f>K750-M750+N750</f>
        <v>52</v>
      </c>
      <c r="P750" t="s">
        <v>43</v>
      </c>
      <c r="Q750" t="b">
        <v>1</v>
      </c>
      <c r="R750" t="s">
        <v>55</v>
      </c>
      <c r="S750" t="s">
        <v>68</v>
      </c>
      <c r="T750" t="s">
        <v>69</v>
      </c>
      <c r="U750" t="s">
        <v>78</v>
      </c>
      <c r="V750" t="s">
        <v>63</v>
      </c>
      <c r="W750" t="s">
        <v>1560</v>
      </c>
      <c r="X750" t="s">
        <v>80</v>
      </c>
      <c r="Y750">
        <v>9007199254741736</v>
      </c>
      <c r="Z750">
        <v>0</v>
      </c>
      <c r="AA750" t="s">
        <v>63</v>
      </c>
      <c r="AB750" t="b">
        <v>1</v>
      </c>
      <c r="AD750" s="3">
        <v>0.125</v>
      </c>
      <c r="AE750" s="2">
        <v>45917.5</v>
      </c>
      <c r="AF750" t="s">
        <v>60</v>
      </c>
    </row>
    <row r="751">
      <c r="A751" t="s">
        <v>1561</v>
      </c>
      <c r="B751" s="2">
        <v>45916.5</v>
      </c>
      <c r="C751" t="s">
        <v>37</v>
      </c>
      <c r="D751" t="s">
        <f>'客户档案'!B3</f>
        <v>38</v>
      </c>
      <c r="E751" t="s">
        <v>39</v>
      </c>
      <c r="F751" t="s">
        <v>40</v>
      </c>
      <c r="G751" t="s">
        <f>'商品目录'!B3</f>
        <v>41</v>
      </c>
      <c r="H751" t="s">
        <v>42</v>
      </c>
      <c r="I751">
        <v>10</v>
      </c>
      <c r="J751" s="4">
        <v>99</v>
      </c>
      <c r="K751" s="4">
        <f>I751*J751</f>
        <v>990</v>
      </c>
      <c r="L751" s="3">
        <v>0</v>
      </c>
      <c r="M751" s="4">
        <f>K751*L751</f>
        <v>0</v>
      </c>
      <c r="N751" s="4">
        <v>0</v>
      </c>
      <c r="O751" s="4">
        <f>K751-M751+N751</f>
        <v>990</v>
      </c>
      <c r="P751" t="s">
        <v>43</v>
      </c>
      <c r="Q751" t="b">
        <v>0</v>
      </c>
      <c r="R751" t="s">
        <v>44</v>
      </c>
      <c r="S751" t="s">
        <v>45</v>
      </c>
      <c r="T751" t="s">
        <v>46</v>
      </c>
      <c r="U751" t="s">
        <v>39</v>
      </c>
      <c r="V751" t="s">
        <v>38</v>
      </c>
      <c r="W751" t="s">
        <v>1562</v>
      </c>
      <c r="X751" t="s">
        <v>0</v>
      </c>
      <c r="Y751">
        <v>9007199254741737</v>
      </c>
      <c r="Z751">
        <v>0</v>
      </c>
      <c r="AA751" t="s">
        <v>38</v>
      </c>
      <c r="AB751" t="b">
        <v>0</v>
      </c>
      <c r="AD751" s="3">
        <v>0.125</v>
      </c>
      <c r="AE751" s="2">
        <v>45918.5</v>
      </c>
      <c r="AF751" t="s">
        <v>60</v>
      </c>
    </row>
    <row r="752">
      <c r="A752" t="s">
        <v>1563</v>
      </c>
      <c r="B752" s="2">
        <v>45917.5</v>
      </c>
      <c r="C752" t="s">
        <v>49</v>
      </c>
      <c r="D752" t="s">
        <f>'客户档案'!B4</f>
        <v>50</v>
      </c>
      <c r="E752" t="s">
        <v>51</v>
      </c>
      <c r="F752" t="s">
        <v>52</v>
      </c>
      <c r="G752" t="s">
        <f>'商品目录'!B4</f>
        <v>53</v>
      </c>
      <c r="H752" t="s">
        <v>54</v>
      </c>
      <c r="I752">
        <v>2</v>
      </c>
      <c r="J752" s="4">
        <v>129</v>
      </c>
      <c r="K752" s="4">
        <f>I752*J752</f>
        <v>258</v>
      </c>
      <c r="L752" s="3">
        <v>0.5</v>
      </c>
      <c r="M752" s="4">
        <f>K752*L752</f>
        <v>129</v>
      </c>
      <c r="N752" s="4">
        <v>10</v>
      </c>
      <c r="O752" s="4">
        <f>K752-M752+N752</f>
        <v>139</v>
      </c>
      <c r="P752" t="s">
        <v>43</v>
      </c>
      <c r="Q752" t="b">
        <v>1</v>
      </c>
      <c r="R752" t="s">
        <v>55</v>
      </c>
      <c r="S752" t="s">
        <v>56</v>
      </c>
      <c r="T752" t="s">
        <v>57</v>
      </c>
      <c r="U752" t="s">
        <v>51</v>
      </c>
      <c r="V752" t="s">
        <v>50</v>
      </c>
      <c r="W752" t="s">
        <v>1564</v>
      </c>
      <c r="X752" t="s">
        <v>59</v>
      </c>
      <c r="Y752">
        <v>9007199254741738</v>
      </c>
      <c r="Z752">
        <v>0</v>
      </c>
      <c r="AA752" t="s">
        <v>50</v>
      </c>
      <c r="AB752" t="b">
        <v>1</v>
      </c>
      <c r="AD752" s="3">
        <v>0.125</v>
      </c>
      <c r="AE752" s="2">
        <v>45919.5</v>
      </c>
      <c r="AF752" t="s">
        <v>60</v>
      </c>
    </row>
    <row r="753">
      <c r="A753" t="s">
        <v>1565</v>
      </c>
      <c r="B753" s="2">
        <v>45918.5</v>
      </c>
      <c r="C753" t="s">
        <v>62</v>
      </c>
      <c r="D753" t="s">
        <f>'客户档案'!B5</f>
        <v>63</v>
      </c>
      <c r="E753" t="s">
        <v>64</v>
      </c>
      <c r="F753" t="s">
        <v>65</v>
      </c>
      <c r="G753" t="s">
        <f>'商品目录'!B5</f>
        <v>66</v>
      </c>
      <c r="H753" t="s">
        <v>67</v>
      </c>
      <c r="I753">
        <v>4</v>
      </c>
      <c r="J753" s="4">
        <v>45</v>
      </c>
      <c r="K753" s="4">
        <f>I753*J753</f>
        <v>180</v>
      </c>
      <c r="L753" s="3">
        <v>0</v>
      </c>
      <c r="M753" s="4">
        <f>K753*L753</f>
        <v>0</v>
      </c>
      <c r="N753" s="4">
        <v>20</v>
      </c>
      <c r="O753" s="4">
        <f>K753-M753+N753</f>
        <v>200</v>
      </c>
      <c r="P753" t="s">
        <v>43</v>
      </c>
      <c r="Q753" t="b">
        <v>1</v>
      </c>
      <c r="R753" t="s">
        <v>55</v>
      </c>
      <c r="S753" t="s">
        <v>68</v>
      </c>
      <c r="T753" t="s">
        <v>69</v>
      </c>
      <c r="U753" t="s">
        <v>70</v>
      </c>
      <c r="V753" t="s">
        <v>63</v>
      </c>
      <c r="W753" t="s">
        <v>1566</v>
      </c>
      <c r="X753" t="s">
        <v>72</v>
      </c>
      <c r="Y753">
        <v>9007199254741739</v>
      </c>
      <c r="Z753">
        <v>0</v>
      </c>
      <c r="AA753" t="s">
        <v>63</v>
      </c>
      <c r="AB753" t="b">
        <v>0</v>
      </c>
      <c r="AD753" s="3">
        <v>0.125</v>
      </c>
      <c r="AE753" s="2">
        <v>45920.5</v>
      </c>
      <c r="AF753" t="s">
        <v>60</v>
      </c>
    </row>
    <row r="754">
      <c r="A754" t="s">
        <v>1567</v>
      </c>
      <c r="B754" s="2">
        <v>45919.5</v>
      </c>
      <c r="C754" t="s">
        <v>37</v>
      </c>
      <c r="D754" t="s">
        <f>'客户档案'!B3</f>
        <v>38</v>
      </c>
      <c r="E754" t="s">
        <v>74</v>
      </c>
      <c r="F754" t="s">
        <v>75</v>
      </c>
      <c r="G754" t="s">
        <f>'商品目录'!B6</f>
        <v>76</v>
      </c>
      <c r="H754" t="s">
        <v>77</v>
      </c>
      <c r="I754">
        <v>6</v>
      </c>
      <c r="J754" s="4">
        <v>8</v>
      </c>
      <c r="K754" s="4">
        <f>I754*J754</f>
        <v>48</v>
      </c>
      <c r="L754" s="3">
        <v>0.5</v>
      </c>
      <c r="M754" s="4">
        <f>K754*L754</f>
        <v>24</v>
      </c>
      <c r="N754" s="4">
        <v>0</v>
      </c>
      <c r="O754" s="4">
        <f>K754-M754+N754</f>
        <v>24</v>
      </c>
      <c r="P754" t="s">
        <v>43</v>
      </c>
      <c r="Q754" t="b">
        <v>1</v>
      </c>
      <c r="R754" t="s">
        <v>55</v>
      </c>
      <c r="S754" t="s">
        <v>45</v>
      </c>
      <c r="T754" t="s">
        <v>46</v>
      </c>
      <c r="U754" t="s">
        <v>78</v>
      </c>
      <c r="V754" t="s">
        <v>38</v>
      </c>
      <c r="W754" t="s">
        <v>1568</v>
      </c>
      <c r="X754" t="s">
        <v>80</v>
      </c>
      <c r="Y754">
        <v>9007199254741740</v>
      </c>
      <c r="Z754">
        <v>0</v>
      </c>
      <c r="AA754" t="s">
        <v>38</v>
      </c>
      <c r="AB754" t="b">
        <v>1</v>
      </c>
      <c r="AD754" s="3">
        <v>0.125</v>
      </c>
      <c r="AE754" s="2">
        <v>45921.5</v>
      </c>
      <c r="AF754" t="s">
        <v>60</v>
      </c>
    </row>
    <row r="755">
      <c r="A755" t="s">
        <v>1569</v>
      </c>
      <c r="B755" s="2">
        <v>45920.5</v>
      </c>
      <c r="C755" t="s">
        <v>49</v>
      </c>
      <c r="D755" t="s">
        <f>'客户档案'!B4</f>
        <v>50</v>
      </c>
      <c r="E755" t="s">
        <v>39</v>
      </c>
      <c r="F755" t="s">
        <v>40</v>
      </c>
      <c r="G755" t="s">
        <f>'商品目录'!B3</f>
        <v>41</v>
      </c>
      <c r="H755" t="s">
        <v>42</v>
      </c>
      <c r="I755">
        <v>8</v>
      </c>
      <c r="J755" s="4">
        <v>99</v>
      </c>
      <c r="K755" s="4">
        <f>I755*J755</f>
        <v>792</v>
      </c>
      <c r="L755" s="3">
        <v>0</v>
      </c>
      <c r="M755" s="4">
        <f>K755*L755</f>
        <v>0</v>
      </c>
      <c r="N755" s="4">
        <v>10</v>
      </c>
      <c r="O755" s="4">
        <f>K755-M755+N755</f>
        <v>802</v>
      </c>
      <c r="P755" t="s">
        <v>43</v>
      </c>
      <c r="Q755" t="b">
        <v>0</v>
      </c>
      <c r="R755" t="s">
        <v>44</v>
      </c>
      <c r="S755" t="s">
        <v>56</v>
      </c>
      <c r="T755" t="s">
        <v>57</v>
      </c>
      <c r="U755" t="s">
        <v>39</v>
      </c>
      <c r="V755" t="s">
        <v>50</v>
      </c>
      <c r="W755" t="s">
        <v>1570</v>
      </c>
      <c r="X755" t="s">
        <v>0</v>
      </c>
      <c r="Y755">
        <v>9007199254741741</v>
      </c>
      <c r="Z755">
        <v>2</v>
      </c>
      <c r="AA755" t="s">
        <v>50</v>
      </c>
      <c r="AB755" t="b">
        <v>0</v>
      </c>
      <c r="AD755" s="3">
        <v>0.125</v>
      </c>
      <c r="AE755" s="2">
        <v>45922.5</v>
      </c>
      <c r="AF755" t="s">
        <v>60</v>
      </c>
    </row>
    <row r="756">
      <c r="A756" t="s">
        <v>1571</v>
      </c>
      <c r="B756" s="2">
        <v>45921.5</v>
      </c>
      <c r="C756" t="s">
        <v>62</v>
      </c>
      <c r="D756" t="s">
        <f>'客户档案'!B5</f>
        <v>63</v>
      </c>
      <c r="E756" t="s">
        <v>51</v>
      </c>
      <c r="F756" t="s">
        <v>52</v>
      </c>
      <c r="G756" t="s">
        <f>'商品目录'!B4</f>
        <v>53</v>
      </c>
      <c r="H756" t="s">
        <v>54</v>
      </c>
      <c r="I756">
        <v>10</v>
      </c>
      <c r="J756" s="4">
        <v>129</v>
      </c>
      <c r="K756" s="4">
        <f>I756*J756</f>
        <v>1290</v>
      </c>
      <c r="L756" s="3">
        <v>0.5</v>
      </c>
      <c r="M756" s="4">
        <f>K756*L756</f>
        <v>645</v>
      </c>
      <c r="N756" s="4">
        <v>20</v>
      </c>
      <c r="O756" s="4">
        <f>K756-M756+N756</f>
        <v>665</v>
      </c>
      <c r="P756" t="s">
        <v>43</v>
      </c>
      <c r="Q756" t="b">
        <v>1</v>
      </c>
      <c r="R756" t="s">
        <v>55</v>
      </c>
      <c r="S756" t="s">
        <v>68</v>
      </c>
      <c r="T756" t="s">
        <v>69</v>
      </c>
      <c r="U756" t="s">
        <v>51</v>
      </c>
      <c r="V756" t="s">
        <v>63</v>
      </c>
      <c r="W756" t="s">
        <v>1572</v>
      </c>
      <c r="X756" t="s">
        <v>59</v>
      </c>
      <c r="Y756">
        <v>9007199254741742</v>
      </c>
      <c r="Z756">
        <v>0</v>
      </c>
      <c r="AA756" t="s">
        <v>63</v>
      </c>
      <c r="AB756" t="b">
        <v>1</v>
      </c>
      <c r="AD756" s="3">
        <v>0.125</v>
      </c>
      <c r="AE756" s="2">
        <v>45923.5</v>
      </c>
      <c r="AF756" t="s">
        <v>60</v>
      </c>
    </row>
    <row r="757">
      <c r="A757" t="s">
        <v>1573</v>
      </c>
      <c r="B757" s="2">
        <v>45922.5</v>
      </c>
      <c r="C757" t="s">
        <v>37</v>
      </c>
      <c r="D757" t="s">
        <f>'客户档案'!B3</f>
        <v>38</v>
      </c>
      <c r="E757" t="s">
        <v>64</v>
      </c>
      <c r="F757" t="s">
        <v>65</v>
      </c>
      <c r="G757" t="s">
        <f>'商品目录'!B5</f>
        <v>66</v>
      </c>
      <c r="H757" t="s">
        <v>67</v>
      </c>
      <c r="I757">
        <v>2</v>
      </c>
      <c r="J757" s="4">
        <v>45</v>
      </c>
      <c r="K757" s="4">
        <f>I757*J757</f>
        <v>90</v>
      </c>
      <c r="L757" s="3">
        <v>0</v>
      </c>
      <c r="M757" s="4">
        <f>K757*L757</f>
        <v>0</v>
      </c>
      <c r="N757" s="4">
        <v>0</v>
      </c>
      <c r="O757" s="4">
        <f>K757-M757+N757</f>
        <v>90</v>
      </c>
      <c r="P757" t="s">
        <v>43</v>
      </c>
      <c r="Q757" t="b">
        <v>1</v>
      </c>
      <c r="R757" t="s">
        <v>55</v>
      </c>
      <c r="S757" t="s">
        <v>45</v>
      </c>
      <c r="T757" t="s">
        <v>46</v>
      </c>
      <c r="U757" t="s">
        <v>70</v>
      </c>
      <c r="V757" t="s">
        <v>38</v>
      </c>
      <c r="W757" t="s">
        <v>1574</v>
      </c>
      <c r="X757" t="s">
        <v>72</v>
      </c>
      <c r="Y757">
        <v>9007199254741743</v>
      </c>
      <c r="Z757">
        <v>0</v>
      </c>
      <c r="AA757" t="s">
        <v>38</v>
      </c>
      <c r="AB757" t="b">
        <v>0</v>
      </c>
      <c r="AD757" s="3">
        <v>0.125</v>
      </c>
      <c r="AE757" s="2">
        <v>45924.5</v>
      </c>
      <c r="AF757" t="s">
        <v>60</v>
      </c>
    </row>
    <row r="758">
      <c r="A758" t="s">
        <v>1575</v>
      </c>
      <c r="B758" s="2">
        <v>45923.5</v>
      </c>
      <c r="C758" t="s">
        <v>49</v>
      </c>
      <c r="D758" t="s">
        <f>'客户档案'!B4</f>
        <v>50</v>
      </c>
      <c r="E758" t="s">
        <v>74</v>
      </c>
      <c r="F758" t="s">
        <v>75</v>
      </c>
      <c r="G758" t="s">
        <f>'商品目录'!B6</f>
        <v>76</v>
      </c>
      <c r="H758" t="s">
        <v>77</v>
      </c>
      <c r="I758">
        <v>4</v>
      </c>
      <c r="J758" s="4">
        <v>8</v>
      </c>
      <c r="K758" s="4">
        <f>I758*J758</f>
        <v>32</v>
      </c>
      <c r="L758" s="3">
        <v>0.5</v>
      </c>
      <c r="M758" s="4">
        <f>K758*L758</f>
        <v>16</v>
      </c>
      <c r="N758" s="4">
        <v>10</v>
      </c>
      <c r="O758" s="4">
        <f>K758-M758+N758</f>
        <v>26</v>
      </c>
      <c r="P758" t="s">
        <v>43</v>
      </c>
      <c r="Q758" t="b">
        <v>1</v>
      </c>
      <c r="R758" t="s">
        <v>55</v>
      </c>
      <c r="S758" t="s">
        <v>56</v>
      </c>
      <c r="T758" t="s">
        <v>57</v>
      </c>
      <c r="U758" t="s">
        <v>78</v>
      </c>
      <c r="V758" t="s">
        <v>50</v>
      </c>
      <c r="W758" t="s">
        <v>1576</v>
      </c>
      <c r="X758" t="s">
        <v>80</v>
      </c>
      <c r="Y758">
        <v>9007199254741744</v>
      </c>
      <c r="Z758">
        <v>0</v>
      </c>
      <c r="AA758" t="s">
        <v>50</v>
      </c>
      <c r="AB758" t="b">
        <v>1</v>
      </c>
      <c r="AD758" s="3">
        <v>0.125</v>
      </c>
      <c r="AE758" s="2">
        <v>45925.5</v>
      </c>
      <c r="AF758" t="s">
        <v>60</v>
      </c>
    </row>
    <row r="759">
      <c r="A759" t="s">
        <v>1577</v>
      </c>
      <c r="B759" s="2">
        <v>45924.5</v>
      </c>
      <c r="C759" t="s">
        <v>62</v>
      </c>
      <c r="D759" t="s">
        <f>'客户档案'!B5</f>
        <v>63</v>
      </c>
      <c r="E759" t="s">
        <v>39</v>
      </c>
      <c r="F759" t="s">
        <v>40</v>
      </c>
      <c r="G759" t="s">
        <f>'商品目录'!B3</f>
        <v>41</v>
      </c>
      <c r="H759" t="s">
        <v>42</v>
      </c>
      <c r="I759">
        <v>6</v>
      </c>
      <c r="J759" s="4">
        <v>99</v>
      </c>
      <c r="K759" s="4">
        <f>I759*J759</f>
        <v>594</v>
      </c>
      <c r="L759" s="3">
        <v>0</v>
      </c>
      <c r="M759" s="4">
        <f>K759*L759</f>
        <v>0</v>
      </c>
      <c r="N759" s="4">
        <v>20</v>
      </c>
      <c r="O759" s="4">
        <f>K759-M759+N759</f>
        <v>614</v>
      </c>
      <c r="P759" t="s">
        <v>43</v>
      </c>
      <c r="Q759" t="b">
        <v>0</v>
      </c>
      <c r="R759" t="s">
        <v>44</v>
      </c>
      <c r="S759" t="s">
        <v>68</v>
      </c>
      <c r="T759" t="s">
        <v>69</v>
      </c>
      <c r="U759" t="s">
        <v>39</v>
      </c>
      <c r="V759" t="s">
        <v>63</v>
      </c>
      <c r="W759" t="s">
        <v>1578</v>
      </c>
      <c r="X759" t="s">
        <v>0</v>
      </c>
      <c r="Y759">
        <v>9007199254741745</v>
      </c>
      <c r="Z759">
        <v>0</v>
      </c>
      <c r="AA759" t="s">
        <v>63</v>
      </c>
      <c r="AB759" t="b">
        <v>0</v>
      </c>
      <c r="AD759" s="3">
        <v>0.125</v>
      </c>
      <c r="AE759" s="2">
        <v>45926.5</v>
      </c>
      <c r="AF759" t="s">
        <v>60</v>
      </c>
    </row>
    <row r="760">
      <c r="A760" t="s">
        <v>1579</v>
      </c>
      <c r="B760" s="2">
        <v>45925.5</v>
      </c>
      <c r="C760" t="s">
        <v>37</v>
      </c>
      <c r="D760" t="s">
        <f>'客户档案'!B3</f>
        <v>38</v>
      </c>
      <c r="E760" t="s">
        <v>51</v>
      </c>
      <c r="F760" t="s">
        <v>52</v>
      </c>
      <c r="G760" t="s">
        <f>'商品目录'!B4</f>
        <v>53</v>
      </c>
      <c r="H760" t="s">
        <v>54</v>
      </c>
      <c r="I760">
        <v>8</v>
      </c>
      <c r="J760" s="4">
        <v>129</v>
      </c>
      <c r="K760" s="4">
        <f>I760*J760</f>
        <v>1032</v>
      </c>
      <c r="L760" s="3">
        <v>0.5</v>
      </c>
      <c r="M760" s="4">
        <f>K760*L760</f>
        <v>516</v>
      </c>
      <c r="N760" s="4">
        <v>0</v>
      </c>
      <c r="O760" s="4">
        <f>K760-M760+N760</f>
        <v>516</v>
      </c>
      <c r="P760" t="s">
        <v>43</v>
      </c>
      <c r="Q760" t="b">
        <v>1</v>
      </c>
      <c r="R760" t="s">
        <v>55</v>
      </c>
      <c r="S760" t="s">
        <v>45</v>
      </c>
      <c r="T760" t="s">
        <v>46</v>
      </c>
      <c r="U760" t="s">
        <v>51</v>
      </c>
      <c r="V760" t="s">
        <v>38</v>
      </c>
      <c r="W760" t="s">
        <v>1580</v>
      </c>
      <c r="X760" t="s">
        <v>59</v>
      </c>
      <c r="Y760">
        <v>9007199254741746</v>
      </c>
      <c r="Z760">
        <v>0</v>
      </c>
      <c r="AA760" t="s">
        <v>38</v>
      </c>
      <c r="AB760" t="b">
        <v>1</v>
      </c>
      <c r="AD760" s="3">
        <v>0.125</v>
      </c>
      <c r="AE760" s="2">
        <v>45927.5</v>
      </c>
      <c r="AF760" t="s">
        <v>60</v>
      </c>
    </row>
    <row r="761">
      <c r="A761" t="s">
        <v>1581</v>
      </c>
      <c r="B761" s="2">
        <v>45926.5</v>
      </c>
      <c r="C761" t="s">
        <v>49</v>
      </c>
      <c r="D761" t="s">
        <f>'客户档案'!B4</f>
        <v>50</v>
      </c>
      <c r="E761" t="s">
        <v>64</v>
      </c>
      <c r="F761" t="s">
        <v>65</v>
      </c>
      <c r="G761" t="s">
        <f>'商品目录'!B5</f>
        <v>66</v>
      </c>
      <c r="H761" t="s">
        <v>67</v>
      </c>
      <c r="I761">
        <v>10</v>
      </c>
      <c r="J761" s="4">
        <v>45</v>
      </c>
      <c r="K761" s="4">
        <f>I761*J761</f>
        <v>450</v>
      </c>
      <c r="L761" s="3">
        <v>0</v>
      </c>
      <c r="M761" s="4">
        <f>K761*L761</f>
        <v>0</v>
      </c>
      <c r="N761" s="4">
        <v>10</v>
      </c>
      <c r="O761" s="4">
        <f>K761-M761+N761</f>
        <v>460</v>
      </c>
      <c r="P761" t="s">
        <v>43</v>
      </c>
      <c r="Q761" t="b">
        <v>1</v>
      </c>
      <c r="R761" t="s">
        <v>55</v>
      </c>
      <c r="S761" t="s">
        <v>56</v>
      </c>
      <c r="T761" t="s">
        <v>57</v>
      </c>
      <c r="U761" t="s">
        <v>70</v>
      </c>
      <c r="V761" t="s">
        <v>50</v>
      </c>
      <c r="W761" t="s">
        <v>1582</v>
      </c>
      <c r="X761" t="s">
        <v>72</v>
      </c>
      <c r="Y761">
        <v>9007199254741747</v>
      </c>
      <c r="Z761">
        <v>0</v>
      </c>
      <c r="AA761" t="s">
        <v>50</v>
      </c>
      <c r="AB761" t="b">
        <v>0</v>
      </c>
      <c r="AD761" s="3">
        <v>0.125</v>
      </c>
      <c r="AE761" s="2">
        <v>45928.5</v>
      </c>
      <c r="AF761" t="s">
        <v>60</v>
      </c>
    </row>
    <row r="762">
      <c r="A762" t="s">
        <v>1583</v>
      </c>
      <c r="B762" s="2">
        <v>45927.5</v>
      </c>
      <c r="C762" t="s">
        <v>62</v>
      </c>
      <c r="D762" t="s">
        <f>'客户档案'!B5</f>
        <v>63</v>
      </c>
      <c r="E762" t="s">
        <v>74</v>
      </c>
      <c r="F762" t="s">
        <v>75</v>
      </c>
      <c r="G762" t="s">
        <f>'商品目录'!B6</f>
        <v>76</v>
      </c>
      <c r="H762" t="s">
        <v>77</v>
      </c>
      <c r="I762">
        <v>2</v>
      </c>
      <c r="J762" s="4">
        <v>8</v>
      </c>
      <c r="K762" s="4">
        <f>I762*J762</f>
        <v>16</v>
      </c>
      <c r="L762" s="3">
        <v>0.5</v>
      </c>
      <c r="M762" s="4">
        <f>K762*L762</f>
        <v>8</v>
      </c>
      <c r="N762" s="4">
        <v>20</v>
      </c>
      <c r="O762" s="4">
        <f>K762-M762+N762</f>
        <v>28</v>
      </c>
      <c r="P762" t="s">
        <v>43</v>
      </c>
      <c r="Q762" t="b">
        <v>1</v>
      </c>
      <c r="R762" t="s">
        <v>55</v>
      </c>
      <c r="S762" t="s">
        <v>68</v>
      </c>
      <c r="T762" t="s">
        <v>69</v>
      </c>
      <c r="U762" t="s">
        <v>78</v>
      </c>
      <c r="V762" t="s">
        <v>63</v>
      </c>
      <c r="W762" t="s">
        <v>1584</v>
      </c>
      <c r="X762" t="s">
        <v>80</v>
      </c>
      <c r="Y762">
        <v>9007199254741748</v>
      </c>
      <c r="Z762">
        <v>0</v>
      </c>
      <c r="AA762" t="s">
        <v>63</v>
      </c>
      <c r="AB762" t="b">
        <v>1</v>
      </c>
      <c r="AD762" s="3">
        <v>0.125</v>
      </c>
      <c r="AE762" s="2">
        <v>45929.5</v>
      </c>
      <c r="AF762" t="s">
        <v>60</v>
      </c>
    </row>
    <row r="763">
      <c r="A763" t="s">
        <v>1585</v>
      </c>
      <c r="B763" s="2">
        <v>45900.5</v>
      </c>
      <c r="C763" t="s">
        <v>37</v>
      </c>
      <c r="D763" t="s">
        <f>'客户档案'!B3</f>
        <v>38</v>
      </c>
      <c r="E763" t="s">
        <v>39</v>
      </c>
      <c r="F763" t="s">
        <v>40</v>
      </c>
      <c r="G763" t="s">
        <f>'商品目录'!B3</f>
        <v>41</v>
      </c>
      <c r="H763" t="s">
        <v>42</v>
      </c>
      <c r="I763">
        <v>4</v>
      </c>
      <c r="J763" s="4">
        <v>99</v>
      </c>
      <c r="K763" s="4">
        <f>I763*J763</f>
        <v>396</v>
      </c>
      <c r="L763" s="3">
        <v>0</v>
      </c>
      <c r="M763" s="4">
        <f>K763*L763</f>
        <v>0</v>
      </c>
      <c r="N763" s="4">
        <v>0</v>
      </c>
      <c r="O763" s="4">
        <f>K763-M763+N763</f>
        <v>396</v>
      </c>
      <c r="P763" t="s">
        <v>43</v>
      </c>
      <c r="Q763" t="b">
        <v>0</v>
      </c>
      <c r="R763" t="s">
        <v>44</v>
      </c>
      <c r="S763" t="s">
        <v>45</v>
      </c>
      <c r="T763" t="s">
        <v>46</v>
      </c>
      <c r="U763" t="s">
        <v>39</v>
      </c>
      <c r="V763" t="s">
        <v>38</v>
      </c>
      <c r="W763" t="s">
        <v>1586</v>
      </c>
      <c r="X763" t="s">
        <v>0</v>
      </c>
      <c r="Y763">
        <v>9007199254741749</v>
      </c>
      <c r="Z763">
        <v>0</v>
      </c>
      <c r="AA763" t="s">
        <v>38</v>
      </c>
      <c r="AB763" t="b">
        <v>0</v>
      </c>
      <c r="AD763" s="3">
        <v>0.125</v>
      </c>
      <c r="AE763" s="2">
        <v>45902.5</v>
      </c>
      <c r="AF763" t="s">
        <v>60</v>
      </c>
    </row>
    <row r="764">
      <c r="A764" t="s">
        <v>1587</v>
      </c>
      <c r="B764" s="2">
        <v>45901.5</v>
      </c>
      <c r="C764" t="s">
        <v>49</v>
      </c>
      <c r="D764" t="s">
        <f>'客户档案'!B4</f>
        <v>50</v>
      </c>
      <c r="E764" t="s">
        <v>51</v>
      </c>
      <c r="F764" t="s">
        <v>52</v>
      </c>
      <c r="G764" t="s">
        <f>'商品目录'!B4</f>
        <v>53</v>
      </c>
      <c r="H764" t="s">
        <v>54</v>
      </c>
      <c r="I764">
        <v>6</v>
      </c>
      <c r="J764" s="4">
        <v>129</v>
      </c>
      <c r="K764" s="4">
        <f>I764*J764</f>
        <v>774</v>
      </c>
      <c r="L764" s="3">
        <v>0.5</v>
      </c>
      <c r="M764" s="4">
        <f>K764*L764</f>
        <v>387</v>
      </c>
      <c r="N764" s="4">
        <v>10</v>
      </c>
      <c r="O764" s="4">
        <f>K764-M764+N764</f>
        <v>397</v>
      </c>
      <c r="P764" t="s">
        <v>43</v>
      </c>
      <c r="Q764" t="b">
        <v>1</v>
      </c>
      <c r="R764" t="s">
        <v>55</v>
      </c>
      <c r="S764" t="s">
        <v>56</v>
      </c>
      <c r="T764" t="s">
        <v>57</v>
      </c>
      <c r="U764" t="s">
        <v>51</v>
      </c>
      <c r="V764" t="s">
        <v>50</v>
      </c>
      <c r="W764" t="s">
        <v>1588</v>
      </c>
      <c r="X764" t="s">
        <v>59</v>
      </c>
      <c r="Y764">
        <v>9007199254741750</v>
      </c>
      <c r="Z764">
        <v>0</v>
      </c>
      <c r="AA764" t="s">
        <v>50</v>
      </c>
      <c r="AB764" t="b">
        <v>1</v>
      </c>
      <c r="AD764" s="3">
        <v>0.125</v>
      </c>
      <c r="AE764" s="2">
        <v>45903.5</v>
      </c>
      <c r="AF764" t="s">
        <v>60</v>
      </c>
    </row>
    <row r="765">
      <c r="A765" t="s">
        <v>1589</v>
      </c>
      <c r="B765" s="2">
        <v>45902.5</v>
      </c>
      <c r="C765" t="s">
        <v>62</v>
      </c>
      <c r="D765" t="s">
        <f>'客户档案'!B5</f>
        <v>63</v>
      </c>
      <c r="E765" t="s">
        <v>64</v>
      </c>
      <c r="F765" t="s">
        <v>65</v>
      </c>
      <c r="G765" t="s">
        <f>'商品目录'!B5</f>
        <v>66</v>
      </c>
      <c r="H765" t="s">
        <v>67</v>
      </c>
      <c r="I765">
        <v>8</v>
      </c>
      <c r="J765" s="4">
        <v>45</v>
      </c>
      <c r="K765" s="4">
        <f>I765*J765</f>
        <v>360</v>
      </c>
      <c r="L765" s="3">
        <v>0</v>
      </c>
      <c r="M765" s="4">
        <f>K765*L765</f>
        <v>0</v>
      </c>
      <c r="N765" s="4">
        <v>20</v>
      </c>
      <c r="O765" s="4">
        <f>K765-M765+N765</f>
        <v>380</v>
      </c>
      <c r="P765" t="s">
        <v>43</v>
      </c>
      <c r="Q765" t="b">
        <v>1</v>
      </c>
      <c r="R765" t="s">
        <v>55</v>
      </c>
      <c r="S765" t="s">
        <v>68</v>
      </c>
      <c r="T765" t="s">
        <v>69</v>
      </c>
      <c r="U765" t="s">
        <v>70</v>
      </c>
      <c r="V765" t="s">
        <v>63</v>
      </c>
      <c r="W765" t="s">
        <v>1590</v>
      </c>
      <c r="X765" t="s">
        <v>72</v>
      </c>
      <c r="Y765">
        <v>9007199254741751</v>
      </c>
      <c r="Z765">
        <v>0</v>
      </c>
      <c r="AA765" t="s">
        <v>63</v>
      </c>
      <c r="AB765" t="b">
        <v>0</v>
      </c>
      <c r="AD765" s="3">
        <v>0.125</v>
      </c>
      <c r="AE765" s="2">
        <v>45904.5</v>
      </c>
      <c r="AF765" t="s">
        <v>60</v>
      </c>
    </row>
    <row r="766">
      <c r="A766" t="s">
        <v>1591</v>
      </c>
      <c r="B766" s="2">
        <v>45903.5</v>
      </c>
      <c r="C766" t="s">
        <v>37</v>
      </c>
      <c r="D766" t="s">
        <f>'客户档案'!B3</f>
        <v>38</v>
      </c>
      <c r="E766" t="s">
        <v>74</v>
      </c>
      <c r="F766" t="s">
        <v>75</v>
      </c>
      <c r="G766" t="s">
        <f>'商品目录'!B6</f>
        <v>76</v>
      </c>
      <c r="H766" t="s">
        <v>77</v>
      </c>
      <c r="I766">
        <v>10</v>
      </c>
      <c r="J766" s="4">
        <v>8</v>
      </c>
      <c r="K766" s="4">
        <f>I766*J766</f>
        <v>80</v>
      </c>
      <c r="L766" s="3">
        <v>0.5</v>
      </c>
      <c r="M766" s="4">
        <f>K766*L766</f>
        <v>40</v>
      </c>
      <c r="N766" s="4">
        <v>0</v>
      </c>
      <c r="O766" s="4">
        <f>K766-M766+N766</f>
        <v>40</v>
      </c>
      <c r="P766" t="s">
        <v>43</v>
      </c>
      <c r="Q766" t="b">
        <v>1</v>
      </c>
      <c r="R766" t="s">
        <v>55</v>
      </c>
      <c r="S766" t="s">
        <v>45</v>
      </c>
      <c r="T766" t="s">
        <v>46</v>
      </c>
      <c r="U766" t="s">
        <v>78</v>
      </c>
      <c r="V766" t="s">
        <v>38</v>
      </c>
      <c r="W766" t="s">
        <v>1592</v>
      </c>
      <c r="X766" t="s">
        <v>80</v>
      </c>
      <c r="Y766">
        <v>9007199254741752</v>
      </c>
      <c r="Z766">
        <v>0</v>
      </c>
      <c r="AA766" t="s">
        <v>38</v>
      </c>
      <c r="AB766" t="b">
        <v>1</v>
      </c>
      <c r="AD766" s="3">
        <v>0.125</v>
      </c>
      <c r="AE766" s="2">
        <v>45905.5</v>
      </c>
      <c r="AF766" t="s">
        <v>60</v>
      </c>
    </row>
    <row r="767">
      <c r="A767" t="s">
        <v>1593</v>
      </c>
      <c r="B767" s="2">
        <v>45904.5</v>
      </c>
      <c r="C767" t="s">
        <v>49</v>
      </c>
      <c r="D767" t="s">
        <f>'客户档案'!B4</f>
        <v>50</v>
      </c>
      <c r="E767" t="s">
        <v>39</v>
      </c>
      <c r="F767" t="s">
        <v>40</v>
      </c>
      <c r="G767" t="s">
        <f>'商品目录'!B3</f>
        <v>41</v>
      </c>
      <c r="H767" t="s">
        <v>42</v>
      </c>
      <c r="I767">
        <v>2</v>
      </c>
      <c r="J767" s="4">
        <v>99</v>
      </c>
      <c r="K767" s="4">
        <f>I767*J767</f>
        <v>198</v>
      </c>
      <c r="L767" s="3">
        <v>0</v>
      </c>
      <c r="M767" s="4">
        <f>K767*L767</f>
        <v>0</v>
      </c>
      <c r="N767" s="4">
        <v>10</v>
      </c>
      <c r="O767" s="4">
        <f>K767-M767+N767</f>
        <v>208</v>
      </c>
      <c r="P767" t="s">
        <v>43</v>
      </c>
      <c r="Q767" t="b">
        <v>0</v>
      </c>
      <c r="R767" t="s">
        <v>44</v>
      </c>
      <c r="S767" t="s">
        <v>56</v>
      </c>
      <c r="T767" t="s">
        <v>57</v>
      </c>
      <c r="U767" t="s">
        <v>39</v>
      </c>
      <c r="V767" t="s">
        <v>50</v>
      </c>
      <c r="W767" t="s">
        <v>1594</v>
      </c>
      <c r="X767" t="s">
        <v>0</v>
      </c>
      <c r="Y767">
        <v>9007199254741753</v>
      </c>
      <c r="Z767">
        <v>0</v>
      </c>
      <c r="AA767" t="s">
        <v>50</v>
      </c>
      <c r="AB767" t="b">
        <v>0</v>
      </c>
      <c r="AD767" s="3">
        <v>0.125</v>
      </c>
      <c r="AE767" s="2">
        <v>45906.5</v>
      </c>
      <c r="AF767" t="s">
        <v>60</v>
      </c>
    </row>
    <row r="768">
      <c r="A768" t="s">
        <v>1595</v>
      </c>
      <c r="B768" s="2">
        <v>45905.5</v>
      </c>
      <c r="C768" t="s">
        <v>62</v>
      </c>
      <c r="D768" t="s">
        <f>'客户档案'!B5</f>
        <v>63</v>
      </c>
      <c r="E768" t="s">
        <v>51</v>
      </c>
      <c r="F768" t="s">
        <v>52</v>
      </c>
      <c r="G768" t="s">
        <f>'商品目录'!B4</f>
        <v>53</v>
      </c>
      <c r="H768" t="s">
        <v>54</v>
      </c>
      <c r="I768">
        <v>4</v>
      </c>
      <c r="J768" s="4">
        <v>129</v>
      </c>
      <c r="K768" s="4">
        <f>I768*J768</f>
        <v>516</v>
      </c>
      <c r="L768" s="3">
        <v>0.5</v>
      </c>
      <c r="M768" s="4">
        <f>K768*L768</f>
        <v>258</v>
      </c>
      <c r="N768" s="4">
        <v>20</v>
      </c>
      <c r="O768" s="4">
        <f>K768-M768+N768</f>
        <v>278</v>
      </c>
      <c r="P768" t="s">
        <v>43</v>
      </c>
      <c r="Q768" t="b">
        <v>1</v>
      </c>
      <c r="R768" t="s">
        <v>55</v>
      </c>
      <c r="S768" t="s">
        <v>68</v>
      </c>
      <c r="T768" t="s">
        <v>69</v>
      </c>
      <c r="U768" t="s">
        <v>51</v>
      </c>
      <c r="V768" t="s">
        <v>63</v>
      </c>
      <c r="W768" t="s">
        <v>1596</v>
      </c>
      <c r="X768" t="s">
        <v>59</v>
      </c>
      <c r="Y768">
        <v>9007199254741754</v>
      </c>
      <c r="Z768">
        <v>0</v>
      </c>
      <c r="AA768" t="s">
        <v>63</v>
      </c>
      <c r="AB768" t="b">
        <v>1</v>
      </c>
      <c r="AD768" s="3">
        <v>0.125</v>
      </c>
      <c r="AE768" s="2">
        <v>45907.5</v>
      </c>
      <c r="AF768" t="s">
        <v>60</v>
      </c>
    </row>
    <row r="769">
      <c r="A769" t="s">
        <v>1597</v>
      </c>
      <c r="B769" s="2">
        <v>45906.5</v>
      </c>
      <c r="C769" t="s">
        <v>37</v>
      </c>
      <c r="D769" t="s">
        <f>'客户档案'!B3</f>
        <v>38</v>
      </c>
      <c r="E769" t="s">
        <v>64</v>
      </c>
      <c r="F769" t="s">
        <v>65</v>
      </c>
      <c r="G769" t="s">
        <f>'商品目录'!B5</f>
        <v>66</v>
      </c>
      <c r="H769" t="s">
        <v>67</v>
      </c>
      <c r="I769">
        <v>6</v>
      </c>
      <c r="J769" s="4">
        <v>45</v>
      </c>
      <c r="K769" s="4">
        <f>I769*J769</f>
        <v>270</v>
      </c>
      <c r="L769" s="3">
        <v>0</v>
      </c>
      <c r="M769" s="4">
        <f>K769*L769</f>
        <v>0</v>
      </c>
      <c r="N769" s="4">
        <v>0</v>
      </c>
      <c r="O769" s="4">
        <f>K769-M769+N769</f>
        <v>270</v>
      </c>
      <c r="P769" t="s">
        <v>43</v>
      </c>
      <c r="Q769" t="b">
        <v>1</v>
      </c>
      <c r="R769" t="s">
        <v>55</v>
      </c>
      <c r="S769" t="s">
        <v>45</v>
      </c>
      <c r="T769" t="s">
        <v>46</v>
      </c>
      <c r="U769" t="s">
        <v>70</v>
      </c>
      <c r="V769" t="s">
        <v>38</v>
      </c>
      <c r="W769" t="s">
        <v>1598</v>
      </c>
      <c r="X769" t="s">
        <v>72</v>
      </c>
      <c r="Y769">
        <v>9007199254741755</v>
      </c>
      <c r="Z769">
        <v>0</v>
      </c>
      <c r="AA769" t="s">
        <v>38</v>
      </c>
      <c r="AB769" t="b">
        <v>0</v>
      </c>
      <c r="AD769" s="3">
        <v>0.125</v>
      </c>
      <c r="AE769" s="2">
        <v>45908.5</v>
      </c>
      <c r="AF769" t="s">
        <v>60</v>
      </c>
    </row>
    <row r="770">
      <c r="A770" t="s">
        <v>1599</v>
      </c>
      <c r="B770" s="2">
        <v>45907.5</v>
      </c>
      <c r="C770" t="s">
        <v>49</v>
      </c>
      <c r="D770" t="s">
        <f>'客户档案'!B4</f>
        <v>50</v>
      </c>
      <c r="E770" t="s">
        <v>74</v>
      </c>
      <c r="F770" t="s">
        <v>75</v>
      </c>
      <c r="G770" t="s">
        <f>'商品目录'!B6</f>
        <v>76</v>
      </c>
      <c r="H770" t="s">
        <v>77</v>
      </c>
      <c r="I770">
        <v>8</v>
      </c>
      <c r="J770" s="4">
        <v>8</v>
      </c>
      <c r="K770" s="4">
        <f>I770*J770</f>
        <v>64</v>
      </c>
      <c r="L770" s="3">
        <v>0.5</v>
      </c>
      <c r="M770" s="4">
        <f>K770*L770</f>
        <v>32</v>
      </c>
      <c r="N770" s="4">
        <v>10</v>
      </c>
      <c r="O770" s="4">
        <f>K770-M770+N770</f>
        <v>42</v>
      </c>
      <c r="P770" t="s">
        <v>43</v>
      </c>
      <c r="Q770" t="b">
        <v>1</v>
      </c>
      <c r="R770" t="s">
        <v>55</v>
      </c>
      <c r="S770" t="s">
        <v>56</v>
      </c>
      <c r="T770" t="s">
        <v>57</v>
      </c>
      <c r="U770" t="s">
        <v>78</v>
      </c>
      <c r="V770" t="s">
        <v>50</v>
      </c>
      <c r="W770" t="s">
        <v>1600</v>
      </c>
      <c r="X770" t="s">
        <v>80</v>
      </c>
      <c r="Y770">
        <v>9007199254741756</v>
      </c>
      <c r="Z770">
        <v>0</v>
      </c>
      <c r="AA770" t="s">
        <v>50</v>
      </c>
      <c r="AB770" t="b">
        <v>1</v>
      </c>
      <c r="AD770" s="3">
        <v>0.125</v>
      </c>
      <c r="AE770" s="2">
        <v>45909.5</v>
      </c>
      <c r="AF770" t="s">
        <v>60</v>
      </c>
    </row>
    <row r="771">
      <c r="A771" t="s">
        <v>1601</v>
      </c>
      <c r="B771" s="2">
        <v>45908.5</v>
      </c>
      <c r="C771" t="s">
        <v>62</v>
      </c>
      <c r="D771" t="s">
        <f>'客户档案'!B5</f>
        <v>63</v>
      </c>
      <c r="E771" t="s">
        <v>39</v>
      </c>
      <c r="F771" t="s">
        <v>40</v>
      </c>
      <c r="G771" t="s">
        <f>'商品目录'!B3</f>
        <v>41</v>
      </c>
      <c r="H771" t="s">
        <v>42</v>
      </c>
      <c r="I771">
        <v>10</v>
      </c>
      <c r="J771" s="4">
        <v>99</v>
      </c>
      <c r="K771" s="4">
        <f>I771*J771</f>
        <v>990</v>
      </c>
      <c r="L771" s="3">
        <v>0</v>
      </c>
      <c r="M771" s="4">
        <f>K771*L771</f>
        <v>0</v>
      </c>
      <c r="N771" s="4">
        <v>20</v>
      </c>
      <c r="O771" s="4">
        <f>K771-M771+N771</f>
        <v>1010</v>
      </c>
      <c r="P771" t="s">
        <v>43</v>
      </c>
      <c r="Q771" t="b">
        <v>0</v>
      </c>
      <c r="R771" t="s">
        <v>44</v>
      </c>
      <c r="S771" t="s">
        <v>68</v>
      </c>
      <c r="T771" t="s">
        <v>69</v>
      </c>
      <c r="U771" t="s">
        <v>39</v>
      </c>
      <c r="V771" t="s">
        <v>63</v>
      </c>
      <c r="W771" t="s">
        <v>1602</v>
      </c>
      <c r="X771" t="s">
        <v>0</v>
      </c>
      <c r="Y771">
        <v>9007199254741757</v>
      </c>
      <c r="Z771">
        <v>0</v>
      </c>
      <c r="AA771" t="s">
        <v>63</v>
      </c>
      <c r="AB771" t="b">
        <v>0</v>
      </c>
      <c r="AD771" s="3">
        <v>0.125</v>
      </c>
      <c r="AE771" s="2">
        <v>45910.5</v>
      </c>
      <c r="AF771" t="s">
        <v>60</v>
      </c>
    </row>
    <row r="772">
      <c r="A772" t="s">
        <v>1603</v>
      </c>
      <c r="B772" s="2">
        <v>45909.5</v>
      </c>
      <c r="C772" t="s">
        <v>37</v>
      </c>
      <c r="D772" t="s">
        <f>'客户档案'!B3</f>
        <v>38</v>
      </c>
      <c r="E772" t="s">
        <v>51</v>
      </c>
      <c r="F772" t="s">
        <v>52</v>
      </c>
      <c r="G772" t="s">
        <f>'商品目录'!B4</f>
        <v>53</v>
      </c>
      <c r="H772" t="s">
        <v>54</v>
      </c>
      <c r="I772">
        <v>2</v>
      </c>
      <c r="J772" s="4">
        <v>129</v>
      </c>
      <c r="K772" s="4">
        <f>I772*J772</f>
        <v>258</v>
      </c>
      <c r="L772" s="3">
        <v>0.5</v>
      </c>
      <c r="M772" s="4">
        <f>K772*L772</f>
        <v>129</v>
      </c>
      <c r="N772" s="4">
        <v>0</v>
      </c>
      <c r="O772" s="4">
        <f>K772-M772+N772</f>
        <v>129</v>
      </c>
      <c r="P772" t="s">
        <v>43</v>
      </c>
      <c r="Q772" t="b">
        <v>1</v>
      </c>
      <c r="R772" t="s">
        <v>55</v>
      </c>
      <c r="S772" t="s">
        <v>45</v>
      </c>
      <c r="T772" t="s">
        <v>46</v>
      </c>
      <c r="U772" t="s">
        <v>51</v>
      </c>
      <c r="V772" t="s">
        <v>38</v>
      </c>
      <c r="W772" t="s">
        <v>1604</v>
      </c>
      <c r="X772" t="s">
        <v>59</v>
      </c>
      <c r="Y772">
        <v>9007199254741758</v>
      </c>
      <c r="Z772">
        <v>2</v>
      </c>
      <c r="AA772" t="s">
        <v>38</v>
      </c>
      <c r="AB772" t="b">
        <v>1</v>
      </c>
      <c r="AD772" s="3">
        <v>0.125</v>
      </c>
      <c r="AE772" s="2">
        <v>45911.5</v>
      </c>
      <c r="AF772" t="s">
        <v>60</v>
      </c>
    </row>
    <row r="773">
      <c r="A773" t="s">
        <v>1605</v>
      </c>
      <c r="B773" s="2">
        <v>45910.5</v>
      </c>
      <c r="C773" t="s">
        <v>49</v>
      </c>
      <c r="D773" t="s">
        <f>'客户档案'!B4</f>
        <v>50</v>
      </c>
      <c r="E773" t="s">
        <v>64</v>
      </c>
      <c r="F773" t="s">
        <v>65</v>
      </c>
      <c r="G773" t="s">
        <f>'商品目录'!B5</f>
        <v>66</v>
      </c>
      <c r="H773" t="s">
        <v>67</v>
      </c>
      <c r="I773">
        <v>4</v>
      </c>
      <c r="J773" s="4">
        <v>45</v>
      </c>
      <c r="K773" s="4">
        <f>I773*J773</f>
        <v>180</v>
      </c>
      <c r="L773" s="3">
        <v>0</v>
      </c>
      <c r="M773" s="4">
        <f>K773*L773</f>
        <v>0</v>
      </c>
      <c r="N773" s="4">
        <v>10</v>
      </c>
      <c r="O773" s="4">
        <f>K773-M773+N773</f>
        <v>190</v>
      </c>
      <c r="P773" t="s">
        <v>43</v>
      </c>
      <c r="Q773" t="b">
        <v>1</v>
      </c>
      <c r="R773" t="s">
        <v>55</v>
      </c>
      <c r="S773" t="s">
        <v>56</v>
      </c>
      <c r="T773" t="s">
        <v>57</v>
      </c>
      <c r="U773" t="s">
        <v>70</v>
      </c>
      <c r="V773" t="s">
        <v>50</v>
      </c>
      <c r="W773" t="s">
        <v>1606</v>
      </c>
      <c r="X773" t="s">
        <v>72</v>
      </c>
      <c r="Y773">
        <v>9007199254741759</v>
      </c>
      <c r="Z773">
        <v>0</v>
      </c>
      <c r="AA773" t="s">
        <v>50</v>
      </c>
      <c r="AB773" t="b">
        <v>0</v>
      </c>
      <c r="AD773" s="3">
        <v>0.125</v>
      </c>
      <c r="AE773" s="2">
        <v>45912.5</v>
      </c>
      <c r="AF773" t="s">
        <v>60</v>
      </c>
    </row>
    <row r="774">
      <c r="A774" t="s">
        <v>1607</v>
      </c>
      <c r="B774" s="2">
        <v>45911.5</v>
      </c>
      <c r="C774" t="s">
        <v>62</v>
      </c>
      <c r="D774" t="s">
        <f>'客户档案'!B5</f>
        <v>63</v>
      </c>
      <c r="E774" t="s">
        <v>74</v>
      </c>
      <c r="F774" t="s">
        <v>75</v>
      </c>
      <c r="G774" t="s">
        <f>'商品目录'!B6</f>
        <v>76</v>
      </c>
      <c r="H774" t="s">
        <v>77</v>
      </c>
      <c r="I774">
        <v>6</v>
      </c>
      <c r="J774" s="4">
        <v>8</v>
      </c>
      <c r="K774" s="4">
        <f>I774*J774</f>
        <v>48</v>
      </c>
      <c r="L774" s="3">
        <v>0.5</v>
      </c>
      <c r="M774" s="4">
        <f>K774*L774</f>
        <v>24</v>
      </c>
      <c r="N774" s="4">
        <v>20</v>
      </c>
      <c r="O774" s="4">
        <f>K774-M774+N774</f>
        <v>44</v>
      </c>
      <c r="P774" t="s">
        <v>43</v>
      </c>
      <c r="Q774" t="b">
        <v>1</v>
      </c>
      <c r="R774" t="s">
        <v>55</v>
      </c>
      <c r="S774" t="s">
        <v>68</v>
      </c>
      <c r="T774" t="s">
        <v>69</v>
      </c>
      <c r="U774" t="s">
        <v>78</v>
      </c>
      <c r="V774" t="s">
        <v>63</v>
      </c>
      <c r="W774" t="s">
        <v>1608</v>
      </c>
      <c r="X774" t="s">
        <v>80</v>
      </c>
      <c r="Y774">
        <v>9007199254741760</v>
      </c>
      <c r="Z774">
        <v>0</v>
      </c>
      <c r="AA774" t="s">
        <v>63</v>
      </c>
      <c r="AB774" t="b">
        <v>1</v>
      </c>
      <c r="AD774" s="3">
        <v>0.125</v>
      </c>
      <c r="AE774" s="2">
        <v>45913.5</v>
      </c>
      <c r="AF774" t="s">
        <v>60</v>
      </c>
    </row>
    <row r="775">
      <c r="A775" t="s">
        <v>1609</v>
      </c>
      <c r="B775" s="2">
        <v>45912.5</v>
      </c>
      <c r="C775" t="s">
        <v>37</v>
      </c>
      <c r="D775" t="s">
        <f>'客户档案'!B3</f>
        <v>38</v>
      </c>
      <c r="E775" t="s">
        <v>39</v>
      </c>
      <c r="F775" t="s">
        <v>40</v>
      </c>
      <c r="G775" t="s">
        <f>'商品目录'!B3</f>
        <v>41</v>
      </c>
      <c r="H775" t="s">
        <v>42</v>
      </c>
      <c r="I775">
        <v>8</v>
      </c>
      <c r="J775" s="4">
        <v>99</v>
      </c>
      <c r="K775" s="4">
        <f>I775*J775</f>
        <v>792</v>
      </c>
      <c r="L775" s="3">
        <v>0</v>
      </c>
      <c r="M775" s="4">
        <f>K775*L775</f>
        <v>0</v>
      </c>
      <c r="N775" s="4">
        <v>0</v>
      </c>
      <c r="O775" s="4">
        <f>K775-M775+N775</f>
        <v>792</v>
      </c>
      <c r="P775" t="s">
        <v>43</v>
      </c>
      <c r="Q775" t="b">
        <v>0</v>
      </c>
      <c r="R775" t="s">
        <v>44</v>
      </c>
      <c r="S775" t="s">
        <v>45</v>
      </c>
      <c r="T775" t="s">
        <v>46</v>
      </c>
      <c r="U775" t="s">
        <v>39</v>
      </c>
      <c r="V775" t="s">
        <v>38</v>
      </c>
      <c r="W775" t="s">
        <v>1610</v>
      </c>
      <c r="X775" t="s">
        <v>0</v>
      </c>
      <c r="Y775">
        <v>9007199254741761</v>
      </c>
      <c r="Z775">
        <v>0</v>
      </c>
      <c r="AA775" t="s">
        <v>38</v>
      </c>
      <c r="AB775" t="b">
        <v>0</v>
      </c>
      <c r="AD775" s="3">
        <v>0.125</v>
      </c>
      <c r="AE775" s="2">
        <v>45914.5</v>
      </c>
      <c r="AF775" t="s">
        <v>60</v>
      </c>
    </row>
    <row r="776">
      <c r="A776" t="s">
        <v>1611</v>
      </c>
      <c r="B776" s="2">
        <v>45913.5</v>
      </c>
      <c r="C776" t="s">
        <v>49</v>
      </c>
      <c r="D776" t="s">
        <f>'客户档案'!B4</f>
        <v>50</v>
      </c>
      <c r="E776" t="s">
        <v>51</v>
      </c>
      <c r="F776" t="s">
        <v>52</v>
      </c>
      <c r="G776" t="s">
        <f>'商品目录'!B4</f>
        <v>53</v>
      </c>
      <c r="H776" t="s">
        <v>54</v>
      </c>
      <c r="I776">
        <v>10</v>
      </c>
      <c r="J776" s="4">
        <v>129</v>
      </c>
      <c r="K776" s="4">
        <f>I776*J776</f>
        <v>1290</v>
      </c>
      <c r="L776" s="3">
        <v>0.5</v>
      </c>
      <c r="M776" s="4">
        <f>K776*L776</f>
        <v>645</v>
      </c>
      <c r="N776" s="4">
        <v>10</v>
      </c>
      <c r="O776" s="4">
        <f>K776-M776+N776</f>
        <v>655</v>
      </c>
      <c r="P776" t="s">
        <v>43</v>
      </c>
      <c r="Q776" t="b">
        <v>1</v>
      </c>
      <c r="R776" t="s">
        <v>55</v>
      </c>
      <c r="S776" t="s">
        <v>56</v>
      </c>
      <c r="T776" t="s">
        <v>57</v>
      </c>
      <c r="U776" t="s">
        <v>51</v>
      </c>
      <c r="V776" t="s">
        <v>50</v>
      </c>
      <c r="W776" t="s">
        <v>1612</v>
      </c>
      <c r="X776" t="s">
        <v>59</v>
      </c>
      <c r="Y776">
        <v>9007199254741762</v>
      </c>
      <c r="Z776">
        <v>0</v>
      </c>
      <c r="AA776" t="s">
        <v>50</v>
      </c>
      <c r="AB776" t="b">
        <v>1</v>
      </c>
      <c r="AD776" s="3">
        <v>0.125</v>
      </c>
      <c r="AE776" s="2">
        <v>45915.5</v>
      </c>
      <c r="AF776" t="s">
        <v>60</v>
      </c>
    </row>
    <row r="777">
      <c r="A777" t="s">
        <v>1613</v>
      </c>
      <c r="B777" s="2">
        <v>45914.5</v>
      </c>
      <c r="C777" t="s">
        <v>62</v>
      </c>
      <c r="D777" t="s">
        <f>'客户档案'!B5</f>
        <v>63</v>
      </c>
      <c r="E777" t="s">
        <v>64</v>
      </c>
      <c r="F777" t="s">
        <v>65</v>
      </c>
      <c r="G777" t="s">
        <f>'商品目录'!B5</f>
        <v>66</v>
      </c>
      <c r="H777" t="s">
        <v>67</v>
      </c>
      <c r="I777">
        <v>2</v>
      </c>
      <c r="J777" s="4">
        <v>45</v>
      </c>
      <c r="K777" s="4">
        <f>I777*J777</f>
        <v>90</v>
      </c>
      <c r="L777" s="3">
        <v>0</v>
      </c>
      <c r="M777" s="4">
        <f>K777*L777</f>
        <v>0</v>
      </c>
      <c r="N777" s="4">
        <v>20</v>
      </c>
      <c r="O777" s="4">
        <f>K777-M777+N777</f>
        <v>110</v>
      </c>
      <c r="P777" t="s">
        <v>43</v>
      </c>
      <c r="Q777" t="b">
        <v>1</v>
      </c>
      <c r="R777" t="s">
        <v>55</v>
      </c>
      <c r="S777" t="s">
        <v>68</v>
      </c>
      <c r="T777" t="s">
        <v>69</v>
      </c>
      <c r="U777" t="s">
        <v>70</v>
      </c>
      <c r="V777" t="s">
        <v>63</v>
      </c>
      <c r="W777" t="s">
        <v>1614</v>
      </c>
      <c r="X777" t="s">
        <v>72</v>
      </c>
      <c r="Y777">
        <v>9007199254741763</v>
      </c>
      <c r="Z777">
        <v>0</v>
      </c>
      <c r="AA777" t="s">
        <v>63</v>
      </c>
      <c r="AB777" t="b">
        <v>0</v>
      </c>
      <c r="AD777" s="3">
        <v>0.125</v>
      </c>
      <c r="AE777" s="2">
        <v>45916.5</v>
      </c>
      <c r="AF777" t="s">
        <v>60</v>
      </c>
    </row>
    <row r="778">
      <c r="A778" t="s">
        <v>1615</v>
      </c>
      <c r="B778" s="2">
        <v>45915.5</v>
      </c>
      <c r="C778" t="s">
        <v>37</v>
      </c>
      <c r="D778" t="s">
        <f>'客户档案'!B3</f>
        <v>38</v>
      </c>
      <c r="E778" t="s">
        <v>74</v>
      </c>
      <c r="F778" t="s">
        <v>75</v>
      </c>
      <c r="G778" t="s">
        <f>'商品目录'!B6</f>
        <v>76</v>
      </c>
      <c r="H778" t="s">
        <v>77</v>
      </c>
      <c r="I778">
        <v>4</v>
      </c>
      <c r="J778" s="4">
        <v>8</v>
      </c>
      <c r="K778" s="4">
        <f>I778*J778</f>
        <v>32</v>
      </c>
      <c r="L778" s="3">
        <v>0.5</v>
      </c>
      <c r="M778" s="4">
        <f>K778*L778</f>
        <v>16</v>
      </c>
      <c r="N778" s="4">
        <v>0</v>
      </c>
      <c r="O778" s="4">
        <f>K778-M778+N778</f>
        <v>16</v>
      </c>
      <c r="P778" t="s">
        <v>43</v>
      </c>
      <c r="Q778" t="b">
        <v>1</v>
      </c>
      <c r="R778" t="s">
        <v>55</v>
      </c>
      <c r="S778" t="s">
        <v>45</v>
      </c>
      <c r="T778" t="s">
        <v>46</v>
      </c>
      <c r="U778" t="s">
        <v>78</v>
      </c>
      <c r="V778" t="s">
        <v>38</v>
      </c>
      <c r="W778" t="s">
        <v>1616</v>
      </c>
      <c r="X778" t="s">
        <v>80</v>
      </c>
      <c r="Y778">
        <v>9007199254741764</v>
      </c>
      <c r="Z778">
        <v>0</v>
      </c>
      <c r="AA778" t="s">
        <v>38</v>
      </c>
      <c r="AB778" t="b">
        <v>1</v>
      </c>
      <c r="AD778" s="3">
        <v>0.125</v>
      </c>
      <c r="AE778" s="2">
        <v>45917.5</v>
      </c>
      <c r="AF778" t="s">
        <v>60</v>
      </c>
    </row>
    <row r="779">
      <c r="A779" t="s">
        <v>1617</v>
      </c>
      <c r="B779" s="2">
        <v>45916.5</v>
      </c>
      <c r="C779" t="s">
        <v>49</v>
      </c>
      <c r="D779" t="s">
        <f>'客户档案'!B4</f>
        <v>50</v>
      </c>
      <c r="E779" t="s">
        <v>39</v>
      </c>
      <c r="F779" t="s">
        <v>40</v>
      </c>
      <c r="G779" t="s">
        <f>'商品目录'!B3</f>
        <v>41</v>
      </c>
      <c r="H779" t="s">
        <v>42</v>
      </c>
      <c r="I779">
        <v>6</v>
      </c>
      <c r="J779" s="4">
        <v>99</v>
      </c>
      <c r="K779" s="4">
        <f>I779*J779</f>
        <v>594</v>
      </c>
      <c r="L779" s="3">
        <v>0</v>
      </c>
      <c r="M779" s="4">
        <f>K779*L779</f>
        <v>0</v>
      </c>
      <c r="N779" s="4">
        <v>10</v>
      </c>
      <c r="O779" s="4">
        <f>K779-M779+N779</f>
        <v>604</v>
      </c>
      <c r="P779" t="s">
        <v>43</v>
      </c>
      <c r="Q779" t="b">
        <v>0</v>
      </c>
      <c r="R779" t="s">
        <v>44</v>
      </c>
      <c r="S779" t="s">
        <v>56</v>
      </c>
      <c r="T779" t="s">
        <v>57</v>
      </c>
      <c r="U779" t="s">
        <v>39</v>
      </c>
      <c r="V779" t="s">
        <v>50</v>
      </c>
      <c r="W779" t="s">
        <v>1618</v>
      </c>
      <c r="X779" t="s">
        <v>0</v>
      </c>
      <c r="Y779">
        <v>9007199254741765</v>
      </c>
      <c r="Z779">
        <v>0</v>
      </c>
      <c r="AA779" t="s">
        <v>50</v>
      </c>
      <c r="AB779" t="b">
        <v>0</v>
      </c>
      <c r="AD779" s="3">
        <v>0.125</v>
      </c>
      <c r="AE779" s="2">
        <v>45918.5</v>
      </c>
      <c r="AF779" t="s">
        <v>60</v>
      </c>
    </row>
    <row r="780">
      <c r="A780" t="s">
        <v>1619</v>
      </c>
      <c r="B780" s="2">
        <v>45917.5</v>
      </c>
      <c r="C780" t="s">
        <v>62</v>
      </c>
      <c r="D780" t="s">
        <f>'客户档案'!B5</f>
        <v>63</v>
      </c>
      <c r="E780" t="s">
        <v>51</v>
      </c>
      <c r="F780" t="s">
        <v>52</v>
      </c>
      <c r="G780" t="s">
        <f>'商品目录'!B4</f>
        <v>53</v>
      </c>
      <c r="H780" t="s">
        <v>54</v>
      </c>
      <c r="I780">
        <v>8</v>
      </c>
      <c r="J780" s="4">
        <v>129</v>
      </c>
      <c r="K780" s="4">
        <f>I780*J780</f>
        <v>1032</v>
      </c>
      <c r="L780" s="3">
        <v>0.5</v>
      </c>
      <c r="M780" s="4">
        <f>K780*L780</f>
        <v>516</v>
      </c>
      <c r="N780" s="4">
        <v>20</v>
      </c>
      <c r="O780" s="4">
        <f>K780-M780+N780</f>
        <v>536</v>
      </c>
      <c r="P780" t="s">
        <v>43</v>
      </c>
      <c r="Q780" t="b">
        <v>1</v>
      </c>
      <c r="R780" t="s">
        <v>55</v>
      </c>
      <c r="S780" t="s">
        <v>68</v>
      </c>
      <c r="T780" t="s">
        <v>69</v>
      </c>
      <c r="U780" t="s">
        <v>51</v>
      </c>
      <c r="V780" t="s">
        <v>63</v>
      </c>
      <c r="W780" t="s">
        <v>1620</v>
      </c>
      <c r="X780" t="s">
        <v>59</v>
      </c>
      <c r="Y780">
        <v>9007199254741766</v>
      </c>
      <c r="Z780">
        <v>0</v>
      </c>
      <c r="AA780" t="s">
        <v>63</v>
      </c>
      <c r="AB780" t="b">
        <v>1</v>
      </c>
      <c r="AD780" s="3">
        <v>0.125</v>
      </c>
      <c r="AE780" s="2">
        <v>45919.5</v>
      </c>
      <c r="AF780" t="s">
        <v>60</v>
      </c>
    </row>
    <row r="781">
      <c r="A781" t="s">
        <v>1621</v>
      </c>
      <c r="B781" s="2">
        <v>45918.5</v>
      </c>
      <c r="C781" t="s">
        <v>37</v>
      </c>
      <c r="D781" t="s">
        <f>'客户档案'!B3</f>
        <v>38</v>
      </c>
      <c r="E781" t="s">
        <v>64</v>
      </c>
      <c r="F781" t="s">
        <v>65</v>
      </c>
      <c r="G781" t="s">
        <f>'商品目录'!B5</f>
        <v>66</v>
      </c>
      <c r="H781" t="s">
        <v>67</v>
      </c>
      <c r="I781">
        <v>10</v>
      </c>
      <c r="J781" s="4">
        <v>45</v>
      </c>
      <c r="K781" s="4">
        <f>I781*J781</f>
        <v>450</v>
      </c>
      <c r="L781" s="3">
        <v>0</v>
      </c>
      <c r="M781" s="4">
        <f>K781*L781</f>
        <v>0</v>
      </c>
      <c r="N781" s="4">
        <v>0</v>
      </c>
      <c r="O781" s="4">
        <f>K781-M781+N781</f>
        <v>450</v>
      </c>
      <c r="P781" t="s">
        <v>43</v>
      </c>
      <c r="Q781" t="b">
        <v>1</v>
      </c>
      <c r="R781" t="s">
        <v>55</v>
      </c>
      <c r="S781" t="s">
        <v>45</v>
      </c>
      <c r="T781" t="s">
        <v>46</v>
      </c>
      <c r="U781" t="s">
        <v>70</v>
      </c>
      <c r="V781" t="s">
        <v>38</v>
      </c>
      <c r="W781" t="s">
        <v>1622</v>
      </c>
      <c r="X781" t="s">
        <v>72</v>
      </c>
      <c r="Y781">
        <v>9007199254741767</v>
      </c>
      <c r="Z781">
        <v>0</v>
      </c>
      <c r="AA781" t="s">
        <v>38</v>
      </c>
      <c r="AB781" t="b">
        <v>0</v>
      </c>
      <c r="AD781" s="3">
        <v>0.125</v>
      </c>
      <c r="AE781" s="2">
        <v>45920.5</v>
      </c>
      <c r="AF781" t="s">
        <v>60</v>
      </c>
    </row>
    <row r="782">
      <c r="A782" t="s">
        <v>1623</v>
      </c>
      <c r="B782" s="2">
        <v>45919.5</v>
      </c>
      <c r="C782" t="s">
        <v>49</v>
      </c>
      <c r="D782" t="s">
        <f>'客户档案'!B4</f>
        <v>50</v>
      </c>
      <c r="E782" t="s">
        <v>74</v>
      </c>
      <c r="F782" t="s">
        <v>75</v>
      </c>
      <c r="G782" t="s">
        <f>'商品目录'!B6</f>
        <v>76</v>
      </c>
      <c r="H782" t="s">
        <v>77</v>
      </c>
      <c r="I782">
        <v>2</v>
      </c>
      <c r="J782" s="4">
        <v>8</v>
      </c>
      <c r="K782" s="4">
        <f>I782*J782</f>
        <v>16</v>
      </c>
      <c r="L782" s="3">
        <v>0.5</v>
      </c>
      <c r="M782" s="4">
        <f>K782*L782</f>
        <v>8</v>
      </c>
      <c r="N782" s="4">
        <v>10</v>
      </c>
      <c r="O782" s="4">
        <f>K782-M782+N782</f>
        <v>18</v>
      </c>
      <c r="P782" t="s">
        <v>43</v>
      </c>
      <c r="Q782" t="b">
        <v>1</v>
      </c>
      <c r="R782" t="s">
        <v>55</v>
      </c>
      <c r="S782" t="s">
        <v>56</v>
      </c>
      <c r="T782" t="s">
        <v>57</v>
      </c>
      <c r="U782" t="s">
        <v>78</v>
      </c>
      <c r="V782" t="s">
        <v>50</v>
      </c>
      <c r="W782" t="s">
        <v>1624</v>
      </c>
      <c r="X782" t="s">
        <v>80</v>
      </c>
      <c r="Y782">
        <v>9007199254741768</v>
      </c>
      <c r="Z782">
        <v>0</v>
      </c>
      <c r="AA782" t="s">
        <v>50</v>
      </c>
      <c r="AB782" t="b">
        <v>1</v>
      </c>
      <c r="AD782" s="3">
        <v>0.125</v>
      </c>
      <c r="AE782" s="2">
        <v>45921.5</v>
      </c>
      <c r="AF782" t="s">
        <v>60</v>
      </c>
    </row>
    <row r="783">
      <c r="A783" t="s">
        <v>1625</v>
      </c>
      <c r="B783" s="2">
        <v>45920.5</v>
      </c>
      <c r="C783" t="s">
        <v>62</v>
      </c>
      <c r="D783" t="s">
        <f>'客户档案'!B5</f>
        <v>63</v>
      </c>
      <c r="E783" t="s">
        <v>39</v>
      </c>
      <c r="F783" t="s">
        <v>40</v>
      </c>
      <c r="G783" t="s">
        <f>'商品目录'!B3</f>
        <v>41</v>
      </c>
      <c r="H783" t="s">
        <v>42</v>
      </c>
      <c r="I783">
        <v>4</v>
      </c>
      <c r="J783" s="4">
        <v>99</v>
      </c>
      <c r="K783" s="4">
        <f>I783*J783</f>
        <v>396</v>
      </c>
      <c r="L783" s="3">
        <v>0</v>
      </c>
      <c r="M783" s="4">
        <f>K783*L783</f>
        <v>0</v>
      </c>
      <c r="N783" s="4">
        <v>20</v>
      </c>
      <c r="O783" s="4">
        <f>K783-M783+N783</f>
        <v>416</v>
      </c>
      <c r="P783" t="s">
        <v>43</v>
      </c>
      <c r="Q783" t="b">
        <v>0</v>
      </c>
      <c r="R783" t="s">
        <v>44</v>
      </c>
      <c r="S783" t="s">
        <v>68</v>
      </c>
      <c r="T783" t="s">
        <v>69</v>
      </c>
      <c r="U783" t="s">
        <v>39</v>
      </c>
      <c r="V783" t="s">
        <v>63</v>
      </c>
      <c r="W783" t="s">
        <v>1626</v>
      </c>
      <c r="X783" t="s">
        <v>0</v>
      </c>
      <c r="Y783">
        <v>9007199254741769</v>
      </c>
      <c r="Z783">
        <v>0</v>
      </c>
      <c r="AA783" t="s">
        <v>63</v>
      </c>
      <c r="AB783" t="b">
        <v>0</v>
      </c>
      <c r="AD783" s="3">
        <v>0.125</v>
      </c>
      <c r="AE783" s="2">
        <v>45922.5</v>
      </c>
      <c r="AF783" t="s">
        <v>60</v>
      </c>
    </row>
    <row r="784">
      <c r="A784" t="s">
        <v>1627</v>
      </c>
      <c r="B784" s="2">
        <v>45921.5</v>
      </c>
      <c r="C784" t="s">
        <v>37</v>
      </c>
      <c r="D784" t="s">
        <f>'客户档案'!B3</f>
        <v>38</v>
      </c>
      <c r="E784" t="s">
        <v>51</v>
      </c>
      <c r="F784" t="s">
        <v>52</v>
      </c>
      <c r="G784" t="s">
        <f>'商品目录'!B4</f>
        <v>53</v>
      </c>
      <c r="H784" t="s">
        <v>54</v>
      </c>
      <c r="I784">
        <v>6</v>
      </c>
      <c r="J784" s="4">
        <v>129</v>
      </c>
      <c r="K784" s="4">
        <f>I784*J784</f>
        <v>774</v>
      </c>
      <c r="L784" s="3">
        <v>0.5</v>
      </c>
      <c r="M784" s="4">
        <f>K784*L784</f>
        <v>387</v>
      </c>
      <c r="N784" s="4">
        <v>0</v>
      </c>
      <c r="O784" s="4">
        <f>K784-M784+N784</f>
        <v>387</v>
      </c>
      <c r="P784" t="s">
        <v>43</v>
      </c>
      <c r="Q784" t="b">
        <v>1</v>
      </c>
      <c r="R784" t="s">
        <v>55</v>
      </c>
      <c r="S784" t="s">
        <v>45</v>
      </c>
      <c r="T784" t="s">
        <v>46</v>
      </c>
      <c r="U784" t="s">
        <v>51</v>
      </c>
      <c r="V784" t="s">
        <v>38</v>
      </c>
      <c r="W784" t="s">
        <v>1628</v>
      </c>
      <c r="X784" t="s">
        <v>59</v>
      </c>
      <c r="Y784">
        <v>9007199254741770</v>
      </c>
      <c r="Z784">
        <v>0</v>
      </c>
      <c r="AA784" t="s">
        <v>38</v>
      </c>
      <c r="AB784" t="b">
        <v>1</v>
      </c>
      <c r="AD784" s="3">
        <v>0.125</v>
      </c>
      <c r="AE784" s="2">
        <v>45923.5</v>
      </c>
      <c r="AF784" t="s">
        <v>60</v>
      </c>
    </row>
    <row r="785">
      <c r="A785" t="s">
        <v>1629</v>
      </c>
      <c r="B785" s="2">
        <v>45922.5</v>
      </c>
      <c r="C785" t="s">
        <v>49</v>
      </c>
      <c r="D785" t="s">
        <f>'客户档案'!B4</f>
        <v>50</v>
      </c>
      <c r="E785" t="s">
        <v>64</v>
      </c>
      <c r="F785" t="s">
        <v>65</v>
      </c>
      <c r="G785" t="s">
        <f>'商品目录'!B5</f>
        <v>66</v>
      </c>
      <c r="H785" t="s">
        <v>67</v>
      </c>
      <c r="I785">
        <v>8</v>
      </c>
      <c r="J785" s="4">
        <v>45</v>
      </c>
      <c r="K785" s="4">
        <f>I785*J785</f>
        <v>360</v>
      </c>
      <c r="L785" s="3">
        <v>0</v>
      </c>
      <c r="M785" s="4">
        <f>K785*L785</f>
        <v>0</v>
      </c>
      <c r="N785" s="4">
        <v>10</v>
      </c>
      <c r="O785" s="4">
        <f>K785-M785+N785</f>
        <v>370</v>
      </c>
      <c r="P785" t="s">
        <v>43</v>
      </c>
      <c r="Q785" t="b">
        <v>1</v>
      </c>
      <c r="R785" t="s">
        <v>55</v>
      </c>
      <c r="S785" t="s">
        <v>56</v>
      </c>
      <c r="T785" t="s">
        <v>57</v>
      </c>
      <c r="U785" t="s">
        <v>70</v>
      </c>
      <c r="V785" t="s">
        <v>50</v>
      </c>
      <c r="W785" t="s">
        <v>1630</v>
      </c>
      <c r="X785" t="s">
        <v>72</v>
      </c>
      <c r="Y785">
        <v>9007199254741771</v>
      </c>
      <c r="Z785">
        <v>0</v>
      </c>
      <c r="AA785" t="s">
        <v>50</v>
      </c>
      <c r="AB785" t="b">
        <v>0</v>
      </c>
      <c r="AD785" s="3">
        <v>0.125</v>
      </c>
      <c r="AE785" s="2">
        <v>45924.5</v>
      </c>
      <c r="AF785" t="s">
        <v>60</v>
      </c>
    </row>
    <row r="786">
      <c r="A786" t="s">
        <v>1631</v>
      </c>
      <c r="B786" s="2">
        <v>45923.5</v>
      </c>
      <c r="C786" t="s">
        <v>62</v>
      </c>
      <c r="D786" t="s">
        <f>'客户档案'!B5</f>
        <v>63</v>
      </c>
      <c r="E786" t="s">
        <v>74</v>
      </c>
      <c r="F786" t="s">
        <v>75</v>
      </c>
      <c r="G786" t="s">
        <f>'商品目录'!B6</f>
        <v>76</v>
      </c>
      <c r="H786" t="s">
        <v>77</v>
      </c>
      <c r="I786">
        <v>10</v>
      </c>
      <c r="J786" s="4">
        <v>8</v>
      </c>
      <c r="K786" s="4">
        <f>I786*J786</f>
        <v>80</v>
      </c>
      <c r="L786" s="3">
        <v>0.5</v>
      </c>
      <c r="M786" s="4">
        <f>K786*L786</f>
        <v>40</v>
      </c>
      <c r="N786" s="4">
        <v>20</v>
      </c>
      <c r="O786" s="4">
        <f>K786-M786+N786</f>
        <v>60</v>
      </c>
      <c r="P786" t="s">
        <v>43</v>
      </c>
      <c r="Q786" t="b">
        <v>1</v>
      </c>
      <c r="R786" t="s">
        <v>55</v>
      </c>
      <c r="S786" t="s">
        <v>68</v>
      </c>
      <c r="T786" t="s">
        <v>69</v>
      </c>
      <c r="U786" t="s">
        <v>78</v>
      </c>
      <c r="V786" t="s">
        <v>63</v>
      </c>
      <c r="W786" t="s">
        <v>1632</v>
      </c>
      <c r="X786" t="s">
        <v>80</v>
      </c>
      <c r="Y786">
        <v>9007199254741772</v>
      </c>
      <c r="Z786">
        <v>0</v>
      </c>
      <c r="AA786" t="s">
        <v>63</v>
      </c>
      <c r="AB786" t="b">
        <v>1</v>
      </c>
      <c r="AD786" s="3">
        <v>0.125</v>
      </c>
      <c r="AE786" s="2">
        <v>45925.5</v>
      </c>
      <c r="AF786" t="s">
        <v>60</v>
      </c>
    </row>
    <row r="787">
      <c r="A787" t="s">
        <v>1633</v>
      </c>
      <c r="B787" s="2">
        <v>45924.5</v>
      </c>
      <c r="C787" t="s">
        <v>37</v>
      </c>
      <c r="D787" t="s">
        <f>'客户档案'!B3</f>
        <v>38</v>
      </c>
      <c r="E787" t="s">
        <v>39</v>
      </c>
      <c r="F787" t="s">
        <v>40</v>
      </c>
      <c r="G787" t="s">
        <f>'商品目录'!B3</f>
        <v>41</v>
      </c>
      <c r="H787" t="s">
        <v>42</v>
      </c>
      <c r="I787">
        <v>2</v>
      </c>
      <c r="J787" s="4">
        <v>99</v>
      </c>
      <c r="K787" s="4">
        <f>I787*J787</f>
        <v>198</v>
      </c>
      <c r="L787" s="3">
        <v>0</v>
      </c>
      <c r="M787" s="4">
        <f>K787*L787</f>
        <v>0</v>
      </c>
      <c r="N787" s="4">
        <v>0</v>
      </c>
      <c r="O787" s="4">
        <f>K787-M787+N787</f>
        <v>198</v>
      </c>
      <c r="P787" t="s">
        <v>43</v>
      </c>
      <c r="Q787" t="b">
        <v>0</v>
      </c>
      <c r="R787" t="s">
        <v>44</v>
      </c>
      <c r="S787" t="s">
        <v>45</v>
      </c>
      <c r="T787" t="s">
        <v>46</v>
      </c>
      <c r="U787" t="s">
        <v>39</v>
      </c>
      <c r="V787" t="s">
        <v>38</v>
      </c>
      <c r="W787" t="s">
        <v>1634</v>
      </c>
      <c r="X787" t="s">
        <v>0</v>
      </c>
      <c r="Y787">
        <v>9007199254741773</v>
      </c>
      <c r="Z787">
        <v>0</v>
      </c>
      <c r="AA787" t="s">
        <v>38</v>
      </c>
      <c r="AB787" t="b">
        <v>0</v>
      </c>
      <c r="AD787" s="3">
        <v>0.125</v>
      </c>
      <c r="AE787" s="2">
        <v>45926.5</v>
      </c>
      <c r="AF787" t="s">
        <v>60</v>
      </c>
    </row>
    <row r="788">
      <c r="A788" t="s">
        <v>1635</v>
      </c>
      <c r="B788" s="2">
        <v>45925.5</v>
      </c>
      <c r="C788" t="s">
        <v>49</v>
      </c>
      <c r="D788" t="s">
        <f>'客户档案'!B4</f>
        <v>50</v>
      </c>
      <c r="E788" t="s">
        <v>51</v>
      </c>
      <c r="F788" t="s">
        <v>52</v>
      </c>
      <c r="G788" t="s">
        <f>'商品目录'!B4</f>
        <v>53</v>
      </c>
      <c r="H788" t="s">
        <v>54</v>
      </c>
      <c r="I788">
        <v>4</v>
      </c>
      <c r="J788" s="4">
        <v>129</v>
      </c>
      <c r="K788" s="4">
        <f>I788*J788</f>
        <v>516</v>
      </c>
      <c r="L788" s="3">
        <v>0.5</v>
      </c>
      <c r="M788" s="4">
        <f>K788*L788</f>
        <v>258</v>
      </c>
      <c r="N788" s="4">
        <v>10</v>
      </c>
      <c r="O788" s="4">
        <f>K788-M788+N788</f>
        <v>268</v>
      </c>
      <c r="P788" t="s">
        <v>43</v>
      </c>
      <c r="Q788" t="b">
        <v>1</v>
      </c>
      <c r="R788" t="s">
        <v>55</v>
      </c>
      <c r="S788" t="s">
        <v>56</v>
      </c>
      <c r="T788" t="s">
        <v>57</v>
      </c>
      <c r="U788" t="s">
        <v>51</v>
      </c>
      <c r="V788" t="s">
        <v>50</v>
      </c>
      <c r="W788" t="s">
        <v>1636</v>
      </c>
      <c r="X788" t="s">
        <v>59</v>
      </c>
      <c r="Y788">
        <v>9007199254741774</v>
      </c>
      <c r="Z788">
        <v>0</v>
      </c>
      <c r="AA788" t="s">
        <v>50</v>
      </c>
      <c r="AB788" t="b">
        <v>1</v>
      </c>
      <c r="AD788" s="3">
        <v>0.125</v>
      </c>
      <c r="AE788" s="2">
        <v>45927.5</v>
      </c>
      <c r="AF788" t="s">
        <v>60</v>
      </c>
    </row>
    <row r="789">
      <c r="A789" t="s">
        <v>1637</v>
      </c>
      <c r="B789" s="2">
        <v>45926.5</v>
      </c>
      <c r="C789" t="s">
        <v>62</v>
      </c>
      <c r="D789" t="s">
        <f>'客户档案'!B5</f>
        <v>63</v>
      </c>
      <c r="E789" t="s">
        <v>64</v>
      </c>
      <c r="F789" t="s">
        <v>65</v>
      </c>
      <c r="G789" t="s">
        <f>'商品目录'!B5</f>
        <v>66</v>
      </c>
      <c r="H789" t="s">
        <v>67</v>
      </c>
      <c r="I789">
        <v>6</v>
      </c>
      <c r="J789" s="4">
        <v>45</v>
      </c>
      <c r="K789" s="4">
        <f>I789*J789</f>
        <v>270</v>
      </c>
      <c r="L789" s="3">
        <v>0</v>
      </c>
      <c r="M789" s="4">
        <f>K789*L789</f>
        <v>0</v>
      </c>
      <c r="N789" s="4">
        <v>20</v>
      </c>
      <c r="O789" s="4">
        <f>K789-M789+N789</f>
        <v>290</v>
      </c>
      <c r="P789" t="s">
        <v>43</v>
      </c>
      <c r="Q789" t="b">
        <v>1</v>
      </c>
      <c r="R789" t="s">
        <v>55</v>
      </c>
      <c r="S789" t="s">
        <v>68</v>
      </c>
      <c r="T789" t="s">
        <v>69</v>
      </c>
      <c r="U789" t="s">
        <v>70</v>
      </c>
      <c r="V789" t="s">
        <v>63</v>
      </c>
      <c r="W789" t="s">
        <v>1638</v>
      </c>
      <c r="X789" t="s">
        <v>72</v>
      </c>
      <c r="Y789">
        <v>9007199254741775</v>
      </c>
      <c r="Z789">
        <v>2</v>
      </c>
      <c r="AA789" t="s">
        <v>63</v>
      </c>
      <c r="AB789" t="b">
        <v>0</v>
      </c>
      <c r="AD789" s="3">
        <v>0.125</v>
      </c>
      <c r="AE789" s="2">
        <v>45928.5</v>
      </c>
      <c r="AF789" t="s">
        <v>60</v>
      </c>
    </row>
    <row r="790">
      <c r="A790" t="s">
        <v>1639</v>
      </c>
      <c r="B790" s="2">
        <v>45927.5</v>
      </c>
      <c r="C790" t="s">
        <v>37</v>
      </c>
      <c r="D790" t="s">
        <f>'客户档案'!B3</f>
        <v>38</v>
      </c>
      <c r="E790" t="s">
        <v>74</v>
      </c>
      <c r="F790" t="s">
        <v>75</v>
      </c>
      <c r="G790" t="s">
        <f>'商品目录'!B6</f>
        <v>76</v>
      </c>
      <c r="H790" t="s">
        <v>77</v>
      </c>
      <c r="I790">
        <v>8</v>
      </c>
      <c r="J790" s="4">
        <v>8</v>
      </c>
      <c r="K790" s="4">
        <f>I790*J790</f>
        <v>64</v>
      </c>
      <c r="L790" s="3">
        <v>0.5</v>
      </c>
      <c r="M790" s="4">
        <f>K790*L790</f>
        <v>32</v>
      </c>
      <c r="N790" s="4">
        <v>0</v>
      </c>
      <c r="O790" s="4">
        <f>K790-M790+N790</f>
        <v>32</v>
      </c>
      <c r="P790" t="s">
        <v>43</v>
      </c>
      <c r="Q790" t="b">
        <v>1</v>
      </c>
      <c r="R790" t="s">
        <v>55</v>
      </c>
      <c r="S790" t="s">
        <v>45</v>
      </c>
      <c r="T790" t="s">
        <v>46</v>
      </c>
      <c r="U790" t="s">
        <v>78</v>
      </c>
      <c r="V790" t="s">
        <v>38</v>
      </c>
      <c r="W790" t="s">
        <v>1640</v>
      </c>
      <c r="X790" t="s">
        <v>80</v>
      </c>
      <c r="Y790">
        <v>9007199254741776</v>
      </c>
      <c r="Z790">
        <v>0</v>
      </c>
      <c r="AA790" t="s">
        <v>38</v>
      </c>
      <c r="AB790" t="b">
        <v>1</v>
      </c>
      <c r="AD790" s="3">
        <v>0.125</v>
      </c>
      <c r="AE790" s="2">
        <v>45929.5</v>
      </c>
      <c r="AF790" t="s">
        <v>60</v>
      </c>
    </row>
    <row r="791">
      <c r="A791" t="s">
        <v>1641</v>
      </c>
      <c r="B791" s="2">
        <v>45900.5</v>
      </c>
      <c r="C791" t="s">
        <v>49</v>
      </c>
      <c r="D791" t="s">
        <f>'客户档案'!B4</f>
        <v>50</v>
      </c>
      <c r="E791" t="s">
        <v>39</v>
      </c>
      <c r="F791" t="s">
        <v>40</v>
      </c>
      <c r="G791" t="s">
        <f>'商品目录'!B3</f>
        <v>41</v>
      </c>
      <c r="H791" t="s">
        <v>42</v>
      </c>
      <c r="I791">
        <v>10</v>
      </c>
      <c r="J791" s="4">
        <v>99</v>
      </c>
      <c r="K791" s="4">
        <f>I791*J791</f>
        <v>990</v>
      </c>
      <c r="L791" s="3">
        <v>0</v>
      </c>
      <c r="M791" s="4">
        <f>K791*L791</f>
        <v>0</v>
      </c>
      <c r="N791" s="4">
        <v>10</v>
      </c>
      <c r="O791" s="4">
        <f>K791-M791+N791</f>
        <v>1000</v>
      </c>
      <c r="P791" t="s">
        <v>43</v>
      </c>
      <c r="Q791" t="b">
        <v>0</v>
      </c>
      <c r="R791" t="s">
        <v>44</v>
      </c>
      <c r="S791" t="s">
        <v>56</v>
      </c>
      <c r="T791" t="s">
        <v>57</v>
      </c>
      <c r="U791" t="s">
        <v>39</v>
      </c>
      <c r="V791" t="s">
        <v>50</v>
      </c>
      <c r="W791" t="s">
        <v>1642</v>
      </c>
      <c r="X791" t="s">
        <v>0</v>
      </c>
      <c r="Y791">
        <v>9007199254741777</v>
      </c>
      <c r="Z791">
        <v>0</v>
      </c>
      <c r="AA791" t="s">
        <v>50</v>
      </c>
      <c r="AB791" t="b">
        <v>0</v>
      </c>
      <c r="AD791" s="3">
        <v>0.125</v>
      </c>
      <c r="AE791" s="2">
        <v>45902.5</v>
      </c>
      <c r="AF791" t="s">
        <v>60</v>
      </c>
    </row>
    <row r="792">
      <c r="A792" t="s">
        <v>1643</v>
      </c>
      <c r="B792" s="2">
        <v>45901.5</v>
      </c>
      <c r="C792" t="s">
        <v>62</v>
      </c>
      <c r="D792" t="s">
        <f>'客户档案'!B5</f>
        <v>63</v>
      </c>
      <c r="E792" t="s">
        <v>51</v>
      </c>
      <c r="F792" t="s">
        <v>52</v>
      </c>
      <c r="G792" t="s">
        <f>'商品目录'!B4</f>
        <v>53</v>
      </c>
      <c r="H792" t="s">
        <v>54</v>
      </c>
      <c r="I792">
        <v>2</v>
      </c>
      <c r="J792" s="4">
        <v>129</v>
      </c>
      <c r="K792" s="4">
        <f>I792*J792</f>
        <v>258</v>
      </c>
      <c r="L792" s="3">
        <v>0.5</v>
      </c>
      <c r="M792" s="4">
        <f>K792*L792</f>
        <v>129</v>
      </c>
      <c r="N792" s="4">
        <v>20</v>
      </c>
      <c r="O792" s="4">
        <f>K792-M792+N792</f>
        <v>149</v>
      </c>
      <c r="P792" t="s">
        <v>43</v>
      </c>
      <c r="Q792" t="b">
        <v>1</v>
      </c>
      <c r="R792" t="s">
        <v>55</v>
      </c>
      <c r="S792" t="s">
        <v>68</v>
      </c>
      <c r="T792" t="s">
        <v>69</v>
      </c>
      <c r="U792" t="s">
        <v>51</v>
      </c>
      <c r="V792" t="s">
        <v>63</v>
      </c>
      <c r="W792" t="s">
        <v>1644</v>
      </c>
      <c r="X792" t="s">
        <v>59</v>
      </c>
      <c r="Y792">
        <v>9007199254741778</v>
      </c>
      <c r="Z792">
        <v>0</v>
      </c>
      <c r="AA792" t="s">
        <v>63</v>
      </c>
      <c r="AB792" t="b">
        <v>1</v>
      </c>
      <c r="AD792" s="3">
        <v>0.125</v>
      </c>
      <c r="AE792" s="2">
        <v>45903.5</v>
      </c>
      <c r="AF792" t="s">
        <v>60</v>
      </c>
    </row>
    <row r="793">
      <c r="A793" t="s">
        <v>1645</v>
      </c>
      <c r="B793" s="2">
        <v>45902.5</v>
      </c>
      <c r="C793" t="s">
        <v>37</v>
      </c>
      <c r="D793" t="s">
        <f>'客户档案'!B3</f>
        <v>38</v>
      </c>
      <c r="E793" t="s">
        <v>64</v>
      </c>
      <c r="F793" t="s">
        <v>65</v>
      </c>
      <c r="G793" t="s">
        <f>'商品目录'!B5</f>
        <v>66</v>
      </c>
      <c r="H793" t="s">
        <v>67</v>
      </c>
      <c r="I793">
        <v>4</v>
      </c>
      <c r="J793" s="4">
        <v>45</v>
      </c>
      <c r="K793" s="4">
        <f>I793*J793</f>
        <v>180</v>
      </c>
      <c r="L793" s="3">
        <v>0</v>
      </c>
      <c r="M793" s="4">
        <f>K793*L793</f>
        <v>0</v>
      </c>
      <c r="N793" s="4">
        <v>0</v>
      </c>
      <c r="O793" s="4">
        <f>K793-M793+N793</f>
        <v>180</v>
      </c>
      <c r="P793" t="s">
        <v>43</v>
      </c>
      <c r="Q793" t="b">
        <v>1</v>
      </c>
      <c r="R793" t="s">
        <v>55</v>
      </c>
      <c r="S793" t="s">
        <v>45</v>
      </c>
      <c r="T793" t="s">
        <v>46</v>
      </c>
      <c r="U793" t="s">
        <v>70</v>
      </c>
      <c r="V793" t="s">
        <v>38</v>
      </c>
      <c r="W793" t="s">
        <v>1646</v>
      </c>
      <c r="X793" t="s">
        <v>72</v>
      </c>
      <c r="Y793">
        <v>9007199254741779</v>
      </c>
      <c r="Z793">
        <v>0</v>
      </c>
      <c r="AA793" t="s">
        <v>38</v>
      </c>
      <c r="AB793" t="b">
        <v>0</v>
      </c>
      <c r="AD793" s="3">
        <v>0.125</v>
      </c>
      <c r="AE793" s="2">
        <v>45904.5</v>
      </c>
      <c r="AF793" t="s">
        <v>60</v>
      </c>
    </row>
    <row r="794">
      <c r="A794" t="s">
        <v>1647</v>
      </c>
      <c r="B794" s="2">
        <v>45903.5</v>
      </c>
      <c r="C794" t="s">
        <v>49</v>
      </c>
      <c r="D794" t="s">
        <f>'客户档案'!B4</f>
        <v>50</v>
      </c>
      <c r="E794" t="s">
        <v>74</v>
      </c>
      <c r="F794" t="s">
        <v>75</v>
      </c>
      <c r="G794" t="s">
        <f>'商品目录'!B6</f>
        <v>76</v>
      </c>
      <c r="H794" t="s">
        <v>77</v>
      </c>
      <c r="I794">
        <v>6</v>
      </c>
      <c r="J794" s="4">
        <v>8</v>
      </c>
      <c r="K794" s="4">
        <f>I794*J794</f>
        <v>48</v>
      </c>
      <c r="L794" s="3">
        <v>0.5</v>
      </c>
      <c r="M794" s="4">
        <f>K794*L794</f>
        <v>24</v>
      </c>
      <c r="N794" s="4">
        <v>10</v>
      </c>
      <c r="O794" s="4">
        <f>K794-M794+N794</f>
        <v>34</v>
      </c>
      <c r="P794" t="s">
        <v>43</v>
      </c>
      <c r="Q794" t="b">
        <v>1</v>
      </c>
      <c r="R794" t="s">
        <v>55</v>
      </c>
      <c r="S794" t="s">
        <v>56</v>
      </c>
      <c r="T794" t="s">
        <v>57</v>
      </c>
      <c r="U794" t="s">
        <v>78</v>
      </c>
      <c r="V794" t="s">
        <v>50</v>
      </c>
      <c r="W794" t="s">
        <v>1648</v>
      </c>
      <c r="X794" t="s">
        <v>80</v>
      </c>
      <c r="Y794">
        <v>9007199254741780</v>
      </c>
      <c r="Z794">
        <v>0</v>
      </c>
      <c r="AA794" t="s">
        <v>50</v>
      </c>
      <c r="AB794" t="b">
        <v>1</v>
      </c>
      <c r="AD794" s="3">
        <v>0.125</v>
      </c>
      <c r="AE794" s="2">
        <v>45905.5</v>
      </c>
      <c r="AF794" t="s">
        <v>60</v>
      </c>
    </row>
    <row r="795">
      <c r="A795" t="s">
        <v>1649</v>
      </c>
      <c r="B795" s="2">
        <v>45904.5</v>
      </c>
      <c r="C795" t="s">
        <v>62</v>
      </c>
      <c r="D795" t="s">
        <f>'客户档案'!B5</f>
        <v>63</v>
      </c>
      <c r="E795" t="s">
        <v>39</v>
      </c>
      <c r="F795" t="s">
        <v>40</v>
      </c>
      <c r="G795" t="s">
        <f>'商品目录'!B3</f>
        <v>41</v>
      </c>
      <c r="H795" t="s">
        <v>42</v>
      </c>
      <c r="I795">
        <v>8</v>
      </c>
      <c r="J795" s="4">
        <v>99</v>
      </c>
      <c r="K795" s="4">
        <f>I795*J795</f>
        <v>792</v>
      </c>
      <c r="L795" s="3">
        <v>0</v>
      </c>
      <c r="M795" s="4">
        <f>K795*L795</f>
        <v>0</v>
      </c>
      <c r="N795" s="4">
        <v>20</v>
      </c>
      <c r="O795" s="4">
        <f>K795-M795+N795</f>
        <v>812</v>
      </c>
      <c r="P795" t="s">
        <v>43</v>
      </c>
      <c r="Q795" t="b">
        <v>0</v>
      </c>
      <c r="R795" t="s">
        <v>44</v>
      </c>
      <c r="S795" t="s">
        <v>68</v>
      </c>
      <c r="T795" t="s">
        <v>69</v>
      </c>
      <c r="U795" t="s">
        <v>39</v>
      </c>
      <c r="V795" t="s">
        <v>63</v>
      </c>
      <c r="W795" t="s">
        <v>1650</v>
      </c>
      <c r="X795" t="s">
        <v>0</v>
      </c>
      <c r="Y795">
        <v>9007199254741781</v>
      </c>
      <c r="Z795">
        <v>0</v>
      </c>
      <c r="AA795" t="s">
        <v>63</v>
      </c>
      <c r="AB795" t="b">
        <v>0</v>
      </c>
      <c r="AD795" s="3">
        <v>0.125</v>
      </c>
      <c r="AE795" s="2">
        <v>45906.5</v>
      </c>
      <c r="AF795" t="s">
        <v>60</v>
      </c>
    </row>
    <row r="796">
      <c r="A796" t="s">
        <v>1651</v>
      </c>
      <c r="B796" s="2">
        <v>45905.5</v>
      </c>
      <c r="C796" t="s">
        <v>37</v>
      </c>
      <c r="D796" t="s">
        <f>'客户档案'!B3</f>
        <v>38</v>
      </c>
      <c r="E796" t="s">
        <v>51</v>
      </c>
      <c r="F796" t="s">
        <v>52</v>
      </c>
      <c r="G796" t="s">
        <f>'商品目录'!B4</f>
        <v>53</v>
      </c>
      <c r="H796" t="s">
        <v>54</v>
      </c>
      <c r="I796">
        <v>10</v>
      </c>
      <c r="J796" s="4">
        <v>129</v>
      </c>
      <c r="K796" s="4">
        <f>I796*J796</f>
        <v>1290</v>
      </c>
      <c r="L796" s="3">
        <v>0.5</v>
      </c>
      <c r="M796" s="4">
        <f>K796*L796</f>
        <v>645</v>
      </c>
      <c r="N796" s="4">
        <v>0</v>
      </c>
      <c r="O796" s="4">
        <f>K796-M796+N796</f>
        <v>645</v>
      </c>
      <c r="P796" t="s">
        <v>43</v>
      </c>
      <c r="Q796" t="b">
        <v>1</v>
      </c>
      <c r="R796" t="s">
        <v>55</v>
      </c>
      <c r="S796" t="s">
        <v>45</v>
      </c>
      <c r="T796" t="s">
        <v>46</v>
      </c>
      <c r="U796" t="s">
        <v>51</v>
      </c>
      <c r="V796" t="s">
        <v>38</v>
      </c>
      <c r="W796" t="s">
        <v>1652</v>
      </c>
      <c r="X796" t="s">
        <v>59</v>
      </c>
      <c r="Y796">
        <v>9007199254741782</v>
      </c>
      <c r="Z796">
        <v>0</v>
      </c>
      <c r="AA796" t="s">
        <v>38</v>
      </c>
      <c r="AB796" t="b">
        <v>1</v>
      </c>
      <c r="AD796" s="3">
        <v>0.125</v>
      </c>
      <c r="AE796" s="2">
        <v>45907.5</v>
      </c>
      <c r="AF796" t="s">
        <v>60</v>
      </c>
    </row>
    <row r="797">
      <c r="A797" t="s">
        <v>1653</v>
      </c>
      <c r="B797" s="2">
        <v>45906.5</v>
      </c>
      <c r="C797" t="s">
        <v>49</v>
      </c>
      <c r="D797" t="s">
        <f>'客户档案'!B4</f>
        <v>50</v>
      </c>
      <c r="E797" t="s">
        <v>64</v>
      </c>
      <c r="F797" t="s">
        <v>65</v>
      </c>
      <c r="G797" t="s">
        <f>'商品目录'!B5</f>
        <v>66</v>
      </c>
      <c r="H797" t="s">
        <v>67</v>
      </c>
      <c r="I797">
        <v>2</v>
      </c>
      <c r="J797" s="4">
        <v>45</v>
      </c>
      <c r="K797" s="4">
        <f>I797*J797</f>
        <v>90</v>
      </c>
      <c r="L797" s="3">
        <v>0</v>
      </c>
      <c r="M797" s="4">
        <f>K797*L797</f>
        <v>0</v>
      </c>
      <c r="N797" s="4">
        <v>10</v>
      </c>
      <c r="O797" s="4">
        <f>K797-M797+N797</f>
        <v>100</v>
      </c>
      <c r="P797" t="s">
        <v>43</v>
      </c>
      <c r="Q797" t="b">
        <v>1</v>
      </c>
      <c r="R797" t="s">
        <v>55</v>
      </c>
      <c r="S797" t="s">
        <v>56</v>
      </c>
      <c r="T797" t="s">
        <v>57</v>
      </c>
      <c r="U797" t="s">
        <v>70</v>
      </c>
      <c r="V797" t="s">
        <v>50</v>
      </c>
      <c r="W797" t="s">
        <v>1654</v>
      </c>
      <c r="X797" t="s">
        <v>72</v>
      </c>
      <c r="Y797">
        <v>9007199254741783</v>
      </c>
      <c r="Z797">
        <v>0</v>
      </c>
      <c r="AA797" t="s">
        <v>50</v>
      </c>
      <c r="AB797" t="b">
        <v>0</v>
      </c>
      <c r="AD797" s="3">
        <v>0.125</v>
      </c>
      <c r="AE797" s="2">
        <v>45908.5</v>
      </c>
      <c r="AF797" t="s">
        <v>60</v>
      </c>
    </row>
    <row r="798">
      <c r="A798" t="s">
        <v>1655</v>
      </c>
      <c r="B798" s="2">
        <v>45907.5</v>
      </c>
      <c r="C798" t="s">
        <v>62</v>
      </c>
      <c r="D798" t="s">
        <f>'客户档案'!B5</f>
        <v>63</v>
      </c>
      <c r="E798" t="s">
        <v>74</v>
      </c>
      <c r="F798" t="s">
        <v>75</v>
      </c>
      <c r="G798" t="s">
        <f>'商品目录'!B6</f>
        <v>76</v>
      </c>
      <c r="H798" t="s">
        <v>77</v>
      </c>
      <c r="I798">
        <v>4</v>
      </c>
      <c r="J798" s="4">
        <v>8</v>
      </c>
      <c r="K798" s="4">
        <f>I798*J798</f>
        <v>32</v>
      </c>
      <c r="L798" s="3">
        <v>0.5</v>
      </c>
      <c r="M798" s="4">
        <f>K798*L798</f>
        <v>16</v>
      </c>
      <c r="N798" s="4">
        <v>20</v>
      </c>
      <c r="O798" s="4">
        <f>K798-M798+N798</f>
        <v>36</v>
      </c>
      <c r="P798" t="s">
        <v>43</v>
      </c>
      <c r="Q798" t="b">
        <v>1</v>
      </c>
      <c r="R798" t="s">
        <v>55</v>
      </c>
      <c r="S798" t="s">
        <v>68</v>
      </c>
      <c r="T798" t="s">
        <v>69</v>
      </c>
      <c r="U798" t="s">
        <v>78</v>
      </c>
      <c r="V798" t="s">
        <v>63</v>
      </c>
      <c r="W798" t="s">
        <v>1656</v>
      </c>
      <c r="X798" t="s">
        <v>80</v>
      </c>
      <c r="Y798">
        <v>9007199254741784</v>
      </c>
      <c r="Z798">
        <v>0</v>
      </c>
      <c r="AA798" t="s">
        <v>63</v>
      </c>
      <c r="AB798" t="b">
        <v>1</v>
      </c>
      <c r="AD798" s="3">
        <v>0.125</v>
      </c>
      <c r="AE798" s="2">
        <v>45909.5</v>
      </c>
      <c r="AF798" t="s">
        <v>60</v>
      </c>
    </row>
    <row r="799">
      <c r="A799" t="s">
        <v>1657</v>
      </c>
      <c r="B799" s="2">
        <v>45908.5</v>
      </c>
      <c r="C799" t="s">
        <v>37</v>
      </c>
      <c r="D799" t="s">
        <f>'客户档案'!B3</f>
        <v>38</v>
      </c>
      <c r="E799" t="s">
        <v>39</v>
      </c>
      <c r="F799" t="s">
        <v>40</v>
      </c>
      <c r="G799" t="s">
        <f>'商品目录'!B3</f>
        <v>41</v>
      </c>
      <c r="H799" t="s">
        <v>42</v>
      </c>
      <c r="I799">
        <v>6</v>
      </c>
      <c r="J799" s="4">
        <v>99</v>
      </c>
      <c r="K799" s="4">
        <f>I799*J799</f>
        <v>594</v>
      </c>
      <c r="L799" s="3">
        <v>0</v>
      </c>
      <c r="M799" s="4">
        <f>K799*L799</f>
        <v>0</v>
      </c>
      <c r="N799" s="4">
        <v>0</v>
      </c>
      <c r="O799" s="4">
        <f>K799-M799+N799</f>
        <v>594</v>
      </c>
      <c r="P799" t="s">
        <v>43</v>
      </c>
      <c r="Q799" t="b">
        <v>0</v>
      </c>
      <c r="R799" t="s">
        <v>44</v>
      </c>
      <c r="S799" t="s">
        <v>45</v>
      </c>
      <c r="T799" t="s">
        <v>46</v>
      </c>
      <c r="U799" t="s">
        <v>39</v>
      </c>
      <c r="V799" t="s">
        <v>38</v>
      </c>
      <c r="W799" t="s">
        <v>1658</v>
      </c>
      <c r="X799" t="s">
        <v>0</v>
      </c>
      <c r="Y799">
        <v>9007199254741785</v>
      </c>
      <c r="Z799">
        <v>0</v>
      </c>
      <c r="AA799" t="s">
        <v>38</v>
      </c>
      <c r="AB799" t="b">
        <v>0</v>
      </c>
      <c r="AD799" s="3">
        <v>0.125</v>
      </c>
      <c r="AE799" s="2">
        <v>45910.5</v>
      </c>
      <c r="AF799" t="s">
        <v>60</v>
      </c>
    </row>
    <row r="800">
      <c r="A800" t="s">
        <v>1659</v>
      </c>
      <c r="B800" s="2">
        <v>45909.5</v>
      </c>
      <c r="C800" t="s">
        <v>49</v>
      </c>
      <c r="D800" t="s">
        <f>'客户档案'!B4</f>
        <v>50</v>
      </c>
      <c r="E800" t="s">
        <v>51</v>
      </c>
      <c r="F800" t="s">
        <v>52</v>
      </c>
      <c r="G800" t="s">
        <f>'商品目录'!B4</f>
        <v>53</v>
      </c>
      <c r="H800" t="s">
        <v>54</v>
      </c>
      <c r="I800">
        <v>8</v>
      </c>
      <c r="J800" s="4">
        <v>129</v>
      </c>
      <c r="K800" s="4">
        <f>I800*J800</f>
        <v>1032</v>
      </c>
      <c r="L800" s="3">
        <v>0.5</v>
      </c>
      <c r="M800" s="4">
        <f>K800*L800</f>
        <v>516</v>
      </c>
      <c r="N800" s="4">
        <v>10</v>
      </c>
      <c r="O800" s="4">
        <f>K800-M800+N800</f>
        <v>526</v>
      </c>
      <c r="P800" t="s">
        <v>43</v>
      </c>
      <c r="Q800" t="b">
        <v>1</v>
      </c>
      <c r="R800" t="s">
        <v>55</v>
      </c>
      <c r="S800" t="s">
        <v>56</v>
      </c>
      <c r="T800" t="s">
        <v>57</v>
      </c>
      <c r="U800" t="s">
        <v>51</v>
      </c>
      <c r="V800" t="s">
        <v>50</v>
      </c>
      <c r="W800" t="s">
        <v>1660</v>
      </c>
      <c r="X800" t="s">
        <v>59</v>
      </c>
      <c r="Y800">
        <v>9007199254741786</v>
      </c>
      <c r="Z800">
        <v>0</v>
      </c>
      <c r="AA800" t="s">
        <v>50</v>
      </c>
      <c r="AB800" t="b">
        <v>1</v>
      </c>
      <c r="AD800" s="3">
        <v>0.125</v>
      </c>
      <c r="AE800" s="2">
        <v>45911.5</v>
      </c>
      <c r="AF800" t="s">
        <v>60</v>
      </c>
    </row>
    <row r="801">
      <c r="A801" t="s">
        <v>1661</v>
      </c>
      <c r="B801" s="2">
        <v>45910.5</v>
      </c>
      <c r="C801" t="s">
        <v>62</v>
      </c>
      <c r="D801" t="s">
        <f>'客户档案'!B5</f>
        <v>63</v>
      </c>
      <c r="E801" t="s">
        <v>64</v>
      </c>
      <c r="F801" t="s">
        <v>65</v>
      </c>
      <c r="G801" t="s">
        <f>'商品目录'!B5</f>
        <v>66</v>
      </c>
      <c r="H801" t="s">
        <v>67</v>
      </c>
      <c r="I801">
        <v>10</v>
      </c>
      <c r="J801" s="4">
        <v>45</v>
      </c>
      <c r="K801" s="4">
        <f>I801*J801</f>
        <v>450</v>
      </c>
      <c r="L801" s="3">
        <v>0</v>
      </c>
      <c r="M801" s="4">
        <f>K801*L801</f>
        <v>0</v>
      </c>
      <c r="N801" s="4">
        <v>20</v>
      </c>
      <c r="O801" s="4">
        <f>K801-M801+N801</f>
        <v>470</v>
      </c>
      <c r="P801" t="s">
        <v>43</v>
      </c>
      <c r="Q801" t="b">
        <v>1</v>
      </c>
      <c r="R801" t="s">
        <v>55</v>
      </c>
      <c r="S801" t="s">
        <v>68</v>
      </c>
      <c r="T801" t="s">
        <v>69</v>
      </c>
      <c r="U801" t="s">
        <v>70</v>
      </c>
      <c r="V801" t="s">
        <v>63</v>
      </c>
      <c r="W801" t="s">
        <v>1662</v>
      </c>
      <c r="X801" t="s">
        <v>72</v>
      </c>
      <c r="Y801">
        <v>9007199254741787</v>
      </c>
      <c r="Z801">
        <v>0</v>
      </c>
      <c r="AA801" t="s">
        <v>63</v>
      </c>
      <c r="AB801" t="b">
        <v>0</v>
      </c>
      <c r="AD801" s="3">
        <v>0.125</v>
      </c>
      <c r="AE801" s="2">
        <v>45912.5</v>
      </c>
      <c r="AF801" t="s">
        <v>60</v>
      </c>
    </row>
    <row r="802">
      <c r="A802" t="s">
        <v>1663</v>
      </c>
      <c r="B802" s="2">
        <v>45911.5</v>
      </c>
      <c r="C802" t="s">
        <v>37</v>
      </c>
      <c r="D802" t="s">
        <f>'客户档案'!B3</f>
        <v>38</v>
      </c>
      <c r="E802" t="s">
        <v>74</v>
      </c>
      <c r="F802" t="s">
        <v>75</v>
      </c>
      <c r="G802" t="s">
        <f>'商品目录'!B6</f>
        <v>76</v>
      </c>
      <c r="H802" t="s">
        <v>77</v>
      </c>
      <c r="I802">
        <v>2</v>
      </c>
      <c r="J802" s="4">
        <v>8</v>
      </c>
      <c r="K802" s="4">
        <f>I802*J802</f>
        <v>16</v>
      </c>
      <c r="L802" s="3">
        <v>0.5</v>
      </c>
      <c r="M802" s="4">
        <f>K802*L802</f>
        <v>8</v>
      </c>
      <c r="N802" s="4">
        <v>0</v>
      </c>
      <c r="O802" s="4">
        <f>K802-M802+N802</f>
        <v>8</v>
      </c>
      <c r="P802" t="s">
        <v>43</v>
      </c>
      <c r="Q802" t="b">
        <v>1</v>
      </c>
      <c r="R802" t="s">
        <v>55</v>
      </c>
      <c r="S802" t="s">
        <v>45</v>
      </c>
      <c r="T802" t="s">
        <v>46</v>
      </c>
      <c r="U802" t="s">
        <v>78</v>
      </c>
      <c r="V802" t="s">
        <v>38</v>
      </c>
      <c r="W802" t="s">
        <v>1664</v>
      </c>
      <c r="X802" t="s">
        <v>80</v>
      </c>
      <c r="Y802">
        <v>9007199254741788</v>
      </c>
      <c r="Z802">
        <v>0</v>
      </c>
      <c r="AA802" t="s">
        <v>38</v>
      </c>
      <c r="AB802" t="b">
        <v>1</v>
      </c>
      <c r="AD802" s="3">
        <v>0.125</v>
      </c>
      <c r="AE802" s="2">
        <v>45913.5</v>
      </c>
      <c r="AF802" t="s">
        <v>60</v>
      </c>
    </row>
    <row r="803">
      <c r="A803" t="s">
        <v>1665</v>
      </c>
      <c r="B803" s="2">
        <v>45912.5</v>
      </c>
      <c r="C803" t="s">
        <v>49</v>
      </c>
      <c r="D803" t="s">
        <f>'客户档案'!B4</f>
        <v>50</v>
      </c>
      <c r="E803" t="s">
        <v>39</v>
      </c>
      <c r="F803" t="s">
        <v>40</v>
      </c>
      <c r="G803" t="s">
        <f>'商品目录'!B3</f>
        <v>41</v>
      </c>
      <c r="H803" t="s">
        <v>42</v>
      </c>
      <c r="I803">
        <v>4</v>
      </c>
      <c r="J803" s="4">
        <v>99</v>
      </c>
      <c r="K803" s="4">
        <f>I803*J803</f>
        <v>396</v>
      </c>
      <c r="L803" s="3">
        <v>0</v>
      </c>
      <c r="M803" s="4">
        <f>K803*L803</f>
        <v>0</v>
      </c>
      <c r="N803" s="4">
        <v>10</v>
      </c>
      <c r="O803" s="4">
        <f>K803-M803+N803</f>
        <v>406</v>
      </c>
      <c r="P803" t="s">
        <v>43</v>
      </c>
      <c r="Q803" t="b">
        <v>0</v>
      </c>
      <c r="R803" t="s">
        <v>44</v>
      </c>
      <c r="S803" t="s">
        <v>56</v>
      </c>
      <c r="T803" t="s">
        <v>57</v>
      </c>
      <c r="U803" t="s">
        <v>39</v>
      </c>
      <c r="V803" t="s">
        <v>50</v>
      </c>
      <c r="W803" t="s">
        <v>1666</v>
      </c>
      <c r="X803" t="s">
        <v>0</v>
      </c>
      <c r="Y803">
        <v>9007199254741789</v>
      </c>
      <c r="Z803">
        <v>0</v>
      </c>
      <c r="AA803" t="s">
        <v>50</v>
      </c>
      <c r="AB803" t="b">
        <v>0</v>
      </c>
      <c r="AD803" s="3">
        <v>0.125</v>
      </c>
      <c r="AE803" s="2">
        <v>45914.5</v>
      </c>
      <c r="AF803" t="s">
        <v>60</v>
      </c>
    </row>
    <row r="804">
      <c r="A804" t="s">
        <v>1667</v>
      </c>
      <c r="B804" s="2">
        <v>45913.5</v>
      </c>
      <c r="C804" t="s">
        <v>62</v>
      </c>
      <c r="D804" t="s">
        <f>'客户档案'!B5</f>
        <v>63</v>
      </c>
      <c r="E804" t="s">
        <v>51</v>
      </c>
      <c r="F804" t="s">
        <v>52</v>
      </c>
      <c r="G804" t="s">
        <f>'商品目录'!B4</f>
        <v>53</v>
      </c>
      <c r="H804" t="s">
        <v>54</v>
      </c>
      <c r="I804">
        <v>6</v>
      </c>
      <c r="J804" s="4">
        <v>129</v>
      </c>
      <c r="K804" s="4">
        <f>I804*J804</f>
        <v>774</v>
      </c>
      <c r="L804" s="3">
        <v>0.5</v>
      </c>
      <c r="M804" s="4">
        <f>K804*L804</f>
        <v>387</v>
      </c>
      <c r="N804" s="4">
        <v>20</v>
      </c>
      <c r="O804" s="4">
        <f>K804-M804+N804</f>
        <v>407</v>
      </c>
      <c r="P804" t="s">
        <v>43</v>
      </c>
      <c r="Q804" t="b">
        <v>1</v>
      </c>
      <c r="R804" t="s">
        <v>55</v>
      </c>
      <c r="S804" t="s">
        <v>68</v>
      </c>
      <c r="T804" t="s">
        <v>69</v>
      </c>
      <c r="U804" t="s">
        <v>51</v>
      </c>
      <c r="V804" t="s">
        <v>63</v>
      </c>
      <c r="W804" t="s">
        <v>1668</v>
      </c>
      <c r="X804" t="s">
        <v>59</v>
      </c>
      <c r="Y804">
        <v>9007199254741790</v>
      </c>
      <c r="Z804">
        <v>0</v>
      </c>
      <c r="AA804" t="s">
        <v>63</v>
      </c>
      <c r="AB804" t="b">
        <v>1</v>
      </c>
      <c r="AD804" s="3">
        <v>0.125</v>
      </c>
      <c r="AE804" s="2">
        <v>45915.5</v>
      </c>
      <c r="AF804" t="s">
        <v>60</v>
      </c>
    </row>
    <row r="805">
      <c r="A805" t="s">
        <v>1669</v>
      </c>
      <c r="B805" s="2">
        <v>45914.5</v>
      </c>
      <c r="C805" t="s">
        <v>37</v>
      </c>
      <c r="D805" t="s">
        <f>'客户档案'!B3</f>
        <v>38</v>
      </c>
      <c r="E805" t="s">
        <v>64</v>
      </c>
      <c r="F805" t="s">
        <v>65</v>
      </c>
      <c r="G805" t="s">
        <f>'商品目录'!B5</f>
        <v>66</v>
      </c>
      <c r="H805" t="s">
        <v>67</v>
      </c>
      <c r="I805">
        <v>8</v>
      </c>
      <c r="J805" s="4">
        <v>45</v>
      </c>
      <c r="K805" s="4">
        <f>I805*J805</f>
        <v>360</v>
      </c>
      <c r="L805" s="3">
        <v>0</v>
      </c>
      <c r="M805" s="4">
        <f>K805*L805</f>
        <v>0</v>
      </c>
      <c r="N805" s="4">
        <v>0</v>
      </c>
      <c r="O805" s="4">
        <f>K805-M805+N805</f>
        <v>360</v>
      </c>
      <c r="P805" t="s">
        <v>43</v>
      </c>
      <c r="Q805" t="b">
        <v>1</v>
      </c>
      <c r="R805" t="s">
        <v>55</v>
      </c>
      <c r="S805" t="s">
        <v>45</v>
      </c>
      <c r="T805" t="s">
        <v>46</v>
      </c>
      <c r="U805" t="s">
        <v>70</v>
      </c>
      <c r="V805" t="s">
        <v>38</v>
      </c>
      <c r="W805" t="s">
        <v>1670</v>
      </c>
      <c r="X805" t="s">
        <v>72</v>
      </c>
      <c r="Y805">
        <v>9007199254741791</v>
      </c>
      <c r="Z805">
        <v>0</v>
      </c>
      <c r="AA805" t="s">
        <v>38</v>
      </c>
      <c r="AB805" t="b">
        <v>0</v>
      </c>
      <c r="AD805" s="3">
        <v>0.125</v>
      </c>
      <c r="AE805" s="2">
        <v>45916.5</v>
      </c>
      <c r="AF805" t="s">
        <v>60</v>
      </c>
    </row>
    <row r="806">
      <c r="A806" t="s">
        <v>1671</v>
      </c>
      <c r="B806" s="2">
        <v>45915.5</v>
      </c>
      <c r="C806" t="s">
        <v>49</v>
      </c>
      <c r="D806" t="s">
        <f>'客户档案'!B4</f>
        <v>50</v>
      </c>
      <c r="E806" t="s">
        <v>74</v>
      </c>
      <c r="F806" t="s">
        <v>75</v>
      </c>
      <c r="G806" t="s">
        <f>'商品目录'!B6</f>
        <v>76</v>
      </c>
      <c r="H806" t="s">
        <v>77</v>
      </c>
      <c r="I806">
        <v>10</v>
      </c>
      <c r="J806" s="4">
        <v>8</v>
      </c>
      <c r="K806" s="4">
        <f>I806*J806</f>
        <v>80</v>
      </c>
      <c r="L806" s="3">
        <v>0.5</v>
      </c>
      <c r="M806" s="4">
        <f>K806*L806</f>
        <v>40</v>
      </c>
      <c r="N806" s="4">
        <v>10</v>
      </c>
      <c r="O806" s="4">
        <f>K806-M806+N806</f>
        <v>50</v>
      </c>
      <c r="P806" t="s">
        <v>43</v>
      </c>
      <c r="Q806" t="b">
        <v>1</v>
      </c>
      <c r="R806" t="s">
        <v>55</v>
      </c>
      <c r="S806" t="s">
        <v>56</v>
      </c>
      <c r="T806" t="s">
        <v>57</v>
      </c>
      <c r="U806" t="s">
        <v>78</v>
      </c>
      <c r="V806" t="s">
        <v>50</v>
      </c>
      <c r="W806" t="s">
        <v>1672</v>
      </c>
      <c r="X806" t="s">
        <v>80</v>
      </c>
      <c r="Y806">
        <v>9007199254741792</v>
      </c>
      <c r="Z806">
        <v>2</v>
      </c>
      <c r="AA806" t="s">
        <v>50</v>
      </c>
      <c r="AB806" t="b">
        <v>1</v>
      </c>
      <c r="AD806" s="3">
        <v>0.125</v>
      </c>
      <c r="AE806" s="2">
        <v>45917.5</v>
      </c>
      <c r="AF806" t="s">
        <v>60</v>
      </c>
    </row>
    <row r="808">
      <c r="A808" t="s">
        <v>1673</v>
      </c>
      <c r="B808" s="2">
        <v>45916.5</v>
      </c>
      <c r="C808" t="s">
        <v>62</v>
      </c>
      <c r="D808" t="s">
        <f>'客户档案'!B5</f>
        <v>63</v>
      </c>
      <c r="E808" t="s">
        <v>39</v>
      </c>
      <c r="F808" t="s">
        <v>40</v>
      </c>
      <c r="G808" t="s">
        <f>'商品目录'!B3</f>
        <v>41</v>
      </c>
      <c r="H808" t="s">
        <v>42</v>
      </c>
      <c r="I808">
        <v>2</v>
      </c>
      <c r="J808" s="4">
        <v>99</v>
      </c>
      <c r="K808" s="4">
        <f>I808*J808</f>
        <v>198</v>
      </c>
      <c r="L808" s="3">
        <v>0</v>
      </c>
      <c r="M808" s="4">
        <f>K808*L808</f>
        <v>0</v>
      </c>
      <c r="N808" s="4">
        <v>20</v>
      </c>
      <c r="O808" s="4">
        <f>K808-M808+N808</f>
        <v>218</v>
      </c>
      <c r="P808" t="s">
        <v>43</v>
      </c>
      <c r="Q808" t="b">
        <v>0</v>
      </c>
      <c r="R808" t="s">
        <v>44</v>
      </c>
      <c r="S808" t="s">
        <v>68</v>
      </c>
      <c r="T808" t="s">
        <v>69</v>
      </c>
      <c r="U808" t="s">
        <v>39</v>
      </c>
      <c r="V808" t="s">
        <v>63</v>
      </c>
      <c r="W808" t="s">
        <v>1674</v>
      </c>
      <c r="X808" t="s">
        <v>0</v>
      </c>
      <c r="Y808">
        <v>9007199254741793</v>
      </c>
      <c r="Z808">
        <v>0</v>
      </c>
      <c r="AA808" t="s">
        <v>63</v>
      </c>
      <c r="AB808" t="b">
        <v>0</v>
      </c>
      <c r="AD808" s="3">
        <v>0.125</v>
      </c>
      <c r="AE808" s="2">
        <v>45918.5</v>
      </c>
      <c r="AF808" t="s">
        <v>60</v>
      </c>
    </row>
    <row r="809">
      <c r="A809" t="s">
        <v>1675</v>
      </c>
      <c r="B809" s="2">
        <v>45917.5</v>
      </c>
      <c r="C809" t="s">
        <v>37</v>
      </c>
      <c r="D809" t="s">
        <f>'客户档案'!B3</f>
        <v>38</v>
      </c>
      <c r="E809" t="s">
        <v>51</v>
      </c>
      <c r="F809" t="s">
        <v>52</v>
      </c>
      <c r="G809" t="s">
        <f>'商品目录'!B4</f>
        <v>53</v>
      </c>
      <c r="H809" t="s">
        <v>54</v>
      </c>
      <c r="I809">
        <v>4</v>
      </c>
      <c r="J809" s="4">
        <v>129</v>
      </c>
      <c r="K809" s="4">
        <f>I809*J809</f>
        <v>516</v>
      </c>
      <c r="L809" s="3">
        <v>0.5</v>
      </c>
      <c r="M809" s="4">
        <f>K809*L809</f>
        <v>258</v>
      </c>
      <c r="N809" s="4">
        <v>0</v>
      </c>
      <c r="O809" s="4">
        <f>K809-M809+N809</f>
        <v>258</v>
      </c>
      <c r="P809" t="s">
        <v>43</v>
      </c>
      <c r="Q809" t="b">
        <v>1</v>
      </c>
      <c r="R809" t="s">
        <v>55</v>
      </c>
      <c r="S809" t="s">
        <v>45</v>
      </c>
      <c r="T809" t="s">
        <v>46</v>
      </c>
      <c r="U809" t="s">
        <v>51</v>
      </c>
      <c r="V809" t="s">
        <v>38</v>
      </c>
      <c r="W809" t="s">
        <v>1676</v>
      </c>
      <c r="X809" t="s">
        <v>59</v>
      </c>
      <c r="Y809">
        <v>9007199254741794</v>
      </c>
      <c r="Z809">
        <v>0</v>
      </c>
      <c r="AA809" t="s">
        <v>38</v>
      </c>
      <c r="AB809" t="b">
        <v>1</v>
      </c>
      <c r="AD809" s="3">
        <v>0.125</v>
      </c>
      <c r="AE809" s="2">
        <v>45919.5</v>
      </c>
      <c r="AF809" t="s">
        <v>60</v>
      </c>
    </row>
    <row r="810">
      <c r="A810" t="s">
        <v>1677</v>
      </c>
      <c r="B810" s="2">
        <v>45918.5</v>
      </c>
      <c r="C810" t="s">
        <v>49</v>
      </c>
      <c r="D810" t="s">
        <f>'客户档案'!B4</f>
        <v>50</v>
      </c>
      <c r="E810" t="s">
        <v>64</v>
      </c>
      <c r="F810" t="s">
        <v>65</v>
      </c>
      <c r="G810" t="s">
        <f>'商品目录'!B5</f>
        <v>66</v>
      </c>
      <c r="H810" t="s">
        <v>67</v>
      </c>
      <c r="I810">
        <v>6</v>
      </c>
      <c r="J810" s="4">
        <v>45</v>
      </c>
      <c r="K810" s="4">
        <f>I810*J810</f>
        <v>270</v>
      </c>
      <c r="L810" s="3">
        <v>0</v>
      </c>
      <c r="M810" s="4">
        <f>K810*L810</f>
        <v>0</v>
      </c>
      <c r="N810" s="4">
        <v>10</v>
      </c>
      <c r="O810" s="4">
        <f>K810-M810+N810</f>
        <v>280</v>
      </c>
      <c r="P810" t="s">
        <v>43</v>
      </c>
      <c r="Q810" t="b">
        <v>1</v>
      </c>
      <c r="R810" t="s">
        <v>55</v>
      </c>
      <c r="S810" t="s">
        <v>56</v>
      </c>
      <c r="T810" t="s">
        <v>57</v>
      </c>
      <c r="U810" t="s">
        <v>70</v>
      </c>
      <c r="V810" t="s">
        <v>50</v>
      </c>
      <c r="W810" t="s">
        <v>1678</v>
      </c>
      <c r="X810" t="s">
        <v>72</v>
      </c>
      <c r="Y810">
        <v>9007199254741795</v>
      </c>
      <c r="Z810">
        <v>0</v>
      </c>
      <c r="AA810" t="s">
        <v>50</v>
      </c>
      <c r="AB810" t="b">
        <v>0</v>
      </c>
      <c r="AD810" s="3">
        <v>0.125</v>
      </c>
      <c r="AE810" s="2">
        <v>45920.5</v>
      </c>
      <c r="AF810" t="s">
        <v>60</v>
      </c>
    </row>
    <row r="811">
      <c r="A811" t="s">
        <v>1679</v>
      </c>
      <c r="B811" s="2">
        <v>45919.5</v>
      </c>
      <c r="C811" t="s">
        <v>62</v>
      </c>
      <c r="D811" t="s">
        <f>'客户档案'!B5</f>
        <v>63</v>
      </c>
      <c r="E811" t="s">
        <v>74</v>
      </c>
      <c r="F811" t="s">
        <v>75</v>
      </c>
      <c r="G811" t="s">
        <f>'商品目录'!B6</f>
        <v>76</v>
      </c>
      <c r="H811" t="s">
        <v>77</v>
      </c>
      <c r="I811">
        <v>8</v>
      </c>
      <c r="J811" s="4">
        <v>8</v>
      </c>
      <c r="K811" s="4">
        <f>I811*J811</f>
        <v>64</v>
      </c>
      <c r="L811" s="3">
        <v>0.5</v>
      </c>
      <c r="M811" s="4">
        <f>K811*L811</f>
        <v>32</v>
      </c>
      <c r="N811" s="4">
        <v>20</v>
      </c>
      <c r="O811" s="4">
        <f>K811-M811+N811</f>
        <v>52</v>
      </c>
      <c r="P811" t="s">
        <v>43</v>
      </c>
      <c r="Q811" t="b">
        <v>1</v>
      </c>
      <c r="R811" t="s">
        <v>55</v>
      </c>
      <c r="S811" t="s">
        <v>68</v>
      </c>
      <c r="T811" t="s">
        <v>69</v>
      </c>
      <c r="U811" t="s">
        <v>78</v>
      </c>
      <c r="V811" t="s">
        <v>63</v>
      </c>
      <c r="W811" t="s">
        <v>1680</v>
      </c>
      <c r="X811" t="s">
        <v>80</v>
      </c>
      <c r="Y811">
        <v>9007199254741796</v>
      </c>
      <c r="Z811">
        <v>0</v>
      </c>
      <c r="AA811" t="s">
        <v>63</v>
      </c>
      <c r="AB811" t="b">
        <v>1</v>
      </c>
      <c r="AD811" s="3">
        <v>0.125</v>
      </c>
      <c r="AE811" s="2">
        <v>45921.5</v>
      </c>
      <c r="AF811" t="s">
        <v>60</v>
      </c>
    </row>
    <row r="812">
      <c r="A812" t="s">
        <v>1681</v>
      </c>
      <c r="B812" s="2">
        <v>45920.5</v>
      </c>
      <c r="C812" t="s">
        <v>37</v>
      </c>
      <c r="D812" t="s">
        <f>'客户档案'!B3</f>
        <v>38</v>
      </c>
      <c r="E812" t="s">
        <v>39</v>
      </c>
      <c r="F812" t="s">
        <v>40</v>
      </c>
      <c r="G812" t="s">
        <f>'商品目录'!B3</f>
        <v>41</v>
      </c>
      <c r="H812" t="s">
        <v>42</v>
      </c>
      <c r="I812">
        <v>10</v>
      </c>
      <c r="J812" s="4">
        <v>99</v>
      </c>
      <c r="K812" s="4">
        <f>I812*J812</f>
        <v>990</v>
      </c>
      <c r="L812" s="3">
        <v>0</v>
      </c>
      <c r="M812" s="4">
        <f>K812*L812</f>
        <v>0</v>
      </c>
      <c r="N812" s="4">
        <v>0</v>
      </c>
      <c r="O812" s="4">
        <f>K812-M812+N812</f>
        <v>990</v>
      </c>
      <c r="P812" t="s">
        <v>43</v>
      </c>
      <c r="Q812" t="b">
        <v>0</v>
      </c>
      <c r="R812" t="s">
        <v>44</v>
      </c>
      <c r="S812" t="s">
        <v>45</v>
      </c>
      <c r="T812" t="s">
        <v>46</v>
      </c>
      <c r="U812" t="s">
        <v>39</v>
      </c>
      <c r="V812" t="s">
        <v>38</v>
      </c>
      <c r="W812" t="s">
        <v>1682</v>
      </c>
      <c r="X812" t="s">
        <v>0</v>
      </c>
      <c r="Y812">
        <v>9007199254741797</v>
      </c>
      <c r="Z812">
        <v>0</v>
      </c>
      <c r="AA812" t="s">
        <v>38</v>
      </c>
      <c r="AB812" t="b">
        <v>0</v>
      </c>
      <c r="AD812" s="3">
        <v>0.125</v>
      </c>
      <c r="AE812" s="2">
        <v>45922.5</v>
      </c>
      <c r="AF812" t="s">
        <v>60</v>
      </c>
    </row>
    <row r="813">
      <c r="A813" t="s">
        <v>1683</v>
      </c>
      <c r="B813" s="2">
        <v>45921.5</v>
      </c>
      <c r="C813" t="s">
        <v>49</v>
      </c>
      <c r="D813" t="s">
        <f>'客户档案'!B4</f>
        <v>50</v>
      </c>
      <c r="E813" t="s">
        <v>51</v>
      </c>
      <c r="F813" t="s">
        <v>52</v>
      </c>
      <c r="G813" t="s">
        <f>'商品目录'!B4</f>
        <v>53</v>
      </c>
      <c r="H813" t="s">
        <v>54</v>
      </c>
      <c r="I813">
        <v>2</v>
      </c>
      <c r="J813" s="4">
        <v>129</v>
      </c>
      <c r="K813" s="4">
        <f>I813*J813</f>
        <v>258</v>
      </c>
      <c r="L813" s="3">
        <v>0.5</v>
      </c>
      <c r="M813" s="4">
        <f>K813*L813</f>
        <v>129</v>
      </c>
      <c r="N813" s="4">
        <v>10</v>
      </c>
      <c r="O813" s="4">
        <f>K813-M813+N813</f>
        <v>139</v>
      </c>
      <c r="P813" t="s">
        <v>43</v>
      </c>
      <c r="Q813" t="b">
        <v>1</v>
      </c>
      <c r="R813" t="s">
        <v>55</v>
      </c>
      <c r="S813" t="s">
        <v>56</v>
      </c>
      <c r="T813" t="s">
        <v>57</v>
      </c>
      <c r="U813" t="s">
        <v>51</v>
      </c>
      <c r="V813" t="s">
        <v>50</v>
      </c>
      <c r="W813" t="s">
        <v>1684</v>
      </c>
      <c r="X813" t="s">
        <v>59</v>
      </c>
      <c r="Y813">
        <v>9007199254741798</v>
      </c>
      <c r="Z813">
        <v>0</v>
      </c>
      <c r="AA813" t="s">
        <v>50</v>
      </c>
      <c r="AB813" t="b">
        <v>1</v>
      </c>
      <c r="AD813" s="3">
        <v>0.125</v>
      </c>
      <c r="AE813" s="2">
        <v>45923.5</v>
      </c>
      <c r="AF813" t="s">
        <v>60</v>
      </c>
    </row>
    <row r="814">
      <c r="A814" t="s">
        <v>1685</v>
      </c>
      <c r="B814" s="2">
        <v>45922.5</v>
      </c>
      <c r="C814" t="s">
        <v>62</v>
      </c>
      <c r="D814" t="s">
        <f>'客户档案'!B5</f>
        <v>63</v>
      </c>
      <c r="E814" t="s">
        <v>64</v>
      </c>
      <c r="F814" t="s">
        <v>65</v>
      </c>
      <c r="G814" t="s">
        <f>'商品目录'!B5</f>
        <v>66</v>
      </c>
      <c r="H814" t="s">
        <v>67</v>
      </c>
      <c r="I814">
        <v>4</v>
      </c>
      <c r="J814" s="4">
        <v>45</v>
      </c>
      <c r="K814" s="4">
        <f>I814*J814</f>
        <v>180</v>
      </c>
      <c r="L814" s="3">
        <v>0</v>
      </c>
      <c r="M814" s="4">
        <f>K814*L814</f>
        <v>0</v>
      </c>
      <c r="N814" s="4">
        <v>20</v>
      </c>
      <c r="O814" s="4">
        <f>K814-M814+N814</f>
        <v>200</v>
      </c>
      <c r="P814" t="s">
        <v>43</v>
      </c>
      <c r="Q814" t="b">
        <v>1</v>
      </c>
      <c r="R814" t="s">
        <v>55</v>
      </c>
      <c r="S814" t="s">
        <v>68</v>
      </c>
      <c r="T814" t="s">
        <v>69</v>
      </c>
      <c r="U814" t="s">
        <v>70</v>
      </c>
      <c r="V814" t="s">
        <v>63</v>
      </c>
      <c r="W814" t="s">
        <v>1686</v>
      </c>
      <c r="X814" t="s">
        <v>72</v>
      </c>
      <c r="Y814">
        <v>9007199254741799</v>
      </c>
      <c r="Z814">
        <v>0</v>
      </c>
      <c r="AA814" t="s">
        <v>63</v>
      </c>
      <c r="AB814" t="b">
        <v>0</v>
      </c>
      <c r="AD814" s="3">
        <v>0.125</v>
      </c>
      <c r="AE814" s="2">
        <v>45924.5</v>
      </c>
      <c r="AF814" t="s">
        <v>60</v>
      </c>
    </row>
    <row r="815">
      <c r="A815" t="s">
        <v>1687</v>
      </c>
      <c r="B815" s="2">
        <v>45923.5</v>
      </c>
      <c r="C815" t="s">
        <v>37</v>
      </c>
      <c r="D815" t="s">
        <f>'客户档案'!B3</f>
        <v>38</v>
      </c>
      <c r="E815" t="s">
        <v>74</v>
      </c>
      <c r="F815" t="s">
        <v>75</v>
      </c>
      <c r="G815" t="s">
        <f>'商品目录'!B6</f>
        <v>76</v>
      </c>
      <c r="H815" t="s">
        <v>77</v>
      </c>
      <c r="I815">
        <v>6</v>
      </c>
      <c r="J815" s="4">
        <v>8</v>
      </c>
      <c r="K815" s="4">
        <f>I815*J815</f>
        <v>48</v>
      </c>
      <c r="L815" s="3">
        <v>0.5</v>
      </c>
      <c r="M815" s="4">
        <f>K815*L815</f>
        <v>24</v>
      </c>
      <c r="N815" s="4">
        <v>0</v>
      </c>
      <c r="O815" s="4">
        <f>K815-M815+N815</f>
        <v>24</v>
      </c>
      <c r="P815" t="s">
        <v>43</v>
      </c>
      <c r="Q815" t="b">
        <v>1</v>
      </c>
      <c r="R815" t="s">
        <v>55</v>
      </c>
      <c r="S815" t="s">
        <v>45</v>
      </c>
      <c r="T815" t="s">
        <v>46</v>
      </c>
      <c r="U815" t="s">
        <v>78</v>
      </c>
      <c r="V815" t="s">
        <v>38</v>
      </c>
      <c r="W815" t="s">
        <v>1688</v>
      </c>
      <c r="X815" t="s">
        <v>80</v>
      </c>
      <c r="Y815">
        <v>9007199254741800</v>
      </c>
      <c r="Z815">
        <v>0</v>
      </c>
      <c r="AA815" t="s">
        <v>38</v>
      </c>
      <c r="AB815" t="b">
        <v>1</v>
      </c>
      <c r="AD815" s="3">
        <v>0.125</v>
      </c>
      <c r="AE815" s="2">
        <v>45925.5</v>
      </c>
      <c r="AF815" t="s">
        <v>60</v>
      </c>
    </row>
    <row r="816">
      <c r="A816" t="s">
        <v>1689</v>
      </c>
      <c r="B816" s="2">
        <v>45924.5</v>
      </c>
      <c r="C816" t="s">
        <v>49</v>
      </c>
      <c r="D816" t="s">
        <f>'客户档案'!B4</f>
        <v>50</v>
      </c>
      <c r="E816" t="s">
        <v>39</v>
      </c>
      <c r="F816" t="s">
        <v>40</v>
      </c>
      <c r="G816" t="s">
        <f>'商品目录'!B3</f>
        <v>41</v>
      </c>
      <c r="H816" t="s">
        <v>42</v>
      </c>
      <c r="I816">
        <v>8</v>
      </c>
      <c r="J816" s="4">
        <v>99</v>
      </c>
      <c r="K816" s="4">
        <f>I816*J816</f>
        <v>792</v>
      </c>
      <c r="L816" s="3">
        <v>0</v>
      </c>
      <c r="M816" s="4">
        <f>K816*L816</f>
        <v>0</v>
      </c>
      <c r="N816" s="4">
        <v>10</v>
      </c>
      <c r="O816" s="4">
        <f>K816-M816+N816</f>
        <v>802</v>
      </c>
      <c r="P816" t="s">
        <v>43</v>
      </c>
      <c r="Q816" t="b">
        <v>0</v>
      </c>
      <c r="R816" t="s">
        <v>44</v>
      </c>
      <c r="S816" t="s">
        <v>56</v>
      </c>
      <c r="T816" t="s">
        <v>57</v>
      </c>
      <c r="U816" t="s">
        <v>39</v>
      </c>
      <c r="V816" t="s">
        <v>50</v>
      </c>
      <c r="W816" t="s">
        <v>1690</v>
      </c>
      <c r="X816" t="s">
        <v>0</v>
      </c>
      <c r="Y816">
        <v>9007199254741801</v>
      </c>
      <c r="Z816">
        <v>0</v>
      </c>
      <c r="AA816" t="s">
        <v>50</v>
      </c>
      <c r="AB816" t="b">
        <v>0</v>
      </c>
      <c r="AD816" s="3">
        <v>0.125</v>
      </c>
      <c r="AE816" s="2">
        <v>45926.5</v>
      </c>
      <c r="AF816" t="e">
        <v>#N/A</v>
      </c>
    </row>
    <row r="817">
      <c r="A817" t="s">
        <v>1691</v>
      </c>
      <c r="B817" s="2">
        <v>45925.5</v>
      </c>
      <c r="C817" t="s">
        <v>62</v>
      </c>
      <c r="D817" t="s">
        <f>'客户档案'!B5</f>
        <v>63</v>
      </c>
      <c r="E817" t="s">
        <v>51</v>
      </c>
      <c r="F817" t="s">
        <v>52</v>
      </c>
      <c r="G817" t="s">
        <f>'商品目录'!B4</f>
        <v>53</v>
      </c>
      <c r="H817" t="s">
        <v>54</v>
      </c>
      <c r="I817">
        <v>10</v>
      </c>
      <c r="J817" s="4">
        <v>129</v>
      </c>
      <c r="K817" s="4">
        <f>I817*J817</f>
        <v>1290</v>
      </c>
      <c r="L817" s="3">
        <v>0.5</v>
      </c>
      <c r="M817" s="4">
        <f>K817*L817</f>
        <v>645</v>
      </c>
      <c r="N817" s="4">
        <v>20</v>
      </c>
      <c r="O817" s="4">
        <f>K817-M817+N817</f>
        <v>665</v>
      </c>
      <c r="P817" t="s">
        <v>43</v>
      </c>
      <c r="Q817" t="b">
        <v>1</v>
      </c>
      <c r="R817" t="s">
        <v>55</v>
      </c>
      <c r="S817" t="s">
        <v>68</v>
      </c>
      <c r="T817" t="s">
        <v>69</v>
      </c>
      <c r="U817" t="s">
        <v>51</v>
      </c>
      <c r="V817" t="s">
        <v>63</v>
      </c>
      <c r="W817" t="s">
        <v>1692</v>
      </c>
      <c r="X817" t="s">
        <v>59</v>
      </c>
      <c r="Y817">
        <v>9007199254741802</v>
      </c>
      <c r="Z817">
        <v>0</v>
      </c>
      <c r="AA817" t="s">
        <v>63</v>
      </c>
      <c r="AB817" t="b">
        <v>1</v>
      </c>
      <c r="AD817" s="3">
        <v>0.125</v>
      </c>
      <c r="AE817" s="2">
        <v>45927.5</v>
      </c>
      <c r="AF817" t="s">
        <v>60</v>
      </c>
    </row>
    <row r="818">
      <c r="A818" t="s">
        <v>1693</v>
      </c>
      <c r="B818" s="2">
        <v>45926.5</v>
      </c>
      <c r="C818" t="s">
        <v>37</v>
      </c>
      <c r="D818" t="s">
        <f>'客户档案'!B3</f>
        <v>38</v>
      </c>
      <c r="E818" t="s">
        <v>64</v>
      </c>
      <c r="F818" t="s">
        <v>65</v>
      </c>
      <c r="G818" t="s">
        <f>'商品目录'!B5</f>
        <v>66</v>
      </c>
      <c r="H818" t="s">
        <v>67</v>
      </c>
      <c r="I818">
        <v>2</v>
      </c>
      <c r="J818" s="4">
        <v>45</v>
      </c>
      <c r="K818" s="4">
        <f>I818*J818</f>
        <v>90</v>
      </c>
      <c r="L818" s="3">
        <v>0</v>
      </c>
      <c r="M818" s="4">
        <f>K818*L818</f>
        <v>0</v>
      </c>
      <c r="N818" s="4">
        <v>0</v>
      </c>
      <c r="O818" s="4">
        <f>K818-M818+N818</f>
        <v>90</v>
      </c>
      <c r="P818" t="s">
        <v>43</v>
      </c>
      <c r="Q818" t="b">
        <v>1</v>
      </c>
      <c r="R818" t="s">
        <v>55</v>
      </c>
      <c r="S818" t="s">
        <v>45</v>
      </c>
      <c r="T818" t="s">
        <v>46</v>
      </c>
      <c r="U818" t="s">
        <v>70</v>
      </c>
      <c r="V818" t="s">
        <v>38</v>
      </c>
      <c r="W818" t="s">
        <v>1694</v>
      </c>
      <c r="X818" t="s">
        <v>72</v>
      </c>
      <c r="Y818">
        <v>9007199254741803</v>
      </c>
      <c r="Z818">
        <v>0</v>
      </c>
      <c r="AA818" t="s">
        <v>38</v>
      </c>
      <c r="AB818" t="b">
        <v>0</v>
      </c>
      <c r="AD818" s="3">
        <v>0.125</v>
      </c>
      <c r="AE818" s="2">
        <v>45928.5</v>
      </c>
      <c r="AF818" t="s">
        <v>60</v>
      </c>
    </row>
    <row r="819">
      <c r="A819" t="s">
        <v>1695</v>
      </c>
      <c r="B819" s="2">
        <v>45927.5</v>
      </c>
      <c r="C819" t="s">
        <v>49</v>
      </c>
      <c r="D819" t="s">
        <f>'客户档案'!B4</f>
        <v>50</v>
      </c>
      <c r="E819" t="s">
        <v>74</v>
      </c>
      <c r="F819" t="s">
        <v>75</v>
      </c>
      <c r="G819" t="s">
        <f>'商品目录'!B6</f>
        <v>76</v>
      </c>
      <c r="H819" t="s">
        <v>77</v>
      </c>
      <c r="I819">
        <v>4</v>
      </c>
      <c r="J819" s="4">
        <v>8</v>
      </c>
      <c r="K819" s="4">
        <f>I819*J819</f>
        <v>32</v>
      </c>
      <c r="L819" s="3">
        <v>0.5</v>
      </c>
      <c r="M819" s="4">
        <f>K819*L819</f>
        <v>16</v>
      </c>
      <c r="N819" s="4">
        <v>10</v>
      </c>
      <c r="O819" s="4">
        <f>K819-M819+N819</f>
        <v>26</v>
      </c>
      <c r="P819" t="s">
        <v>43</v>
      </c>
      <c r="Q819" t="b">
        <v>1</v>
      </c>
      <c r="R819" t="s">
        <v>55</v>
      </c>
      <c r="S819" t="s">
        <v>56</v>
      </c>
      <c r="T819" t="s">
        <v>57</v>
      </c>
      <c r="U819" t="s">
        <v>78</v>
      </c>
      <c r="V819" t="s">
        <v>50</v>
      </c>
      <c r="W819" t="s">
        <v>1696</v>
      </c>
      <c r="X819" t="s">
        <v>80</v>
      </c>
      <c r="Y819">
        <v>9007199254741804</v>
      </c>
      <c r="Z819">
        <v>0</v>
      </c>
      <c r="AA819" t="s">
        <v>50</v>
      </c>
      <c r="AB819" t="b">
        <v>1</v>
      </c>
      <c r="AD819" s="3">
        <v>0.125</v>
      </c>
      <c r="AE819" s="2">
        <v>45929.5</v>
      </c>
      <c r="AF819" t="s">
        <v>60</v>
      </c>
    </row>
    <row r="820">
      <c r="A820" t="s">
        <v>1697</v>
      </c>
      <c r="B820" s="2">
        <v>45900.5</v>
      </c>
      <c r="C820" t="s">
        <v>62</v>
      </c>
      <c r="D820" t="s">
        <f>'客户档案'!B5</f>
        <v>63</v>
      </c>
      <c r="E820" t="s">
        <v>39</v>
      </c>
      <c r="F820" t="s">
        <v>40</v>
      </c>
      <c r="G820" t="s">
        <f>'商品目录'!B3</f>
        <v>41</v>
      </c>
      <c r="H820" t="s">
        <v>42</v>
      </c>
      <c r="I820">
        <v>6</v>
      </c>
      <c r="J820" s="4">
        <v>99</v>
      </c>
      <c r="K820" s="4">
        <f>I820*J820</f>
        <v>594</v>
      </c>
      <c r="L820" s="3">
        <v>0</v>
      </c>
      <c r="M820" s="4">
        <f>K820*L820</f>
        <v>0</v>
      </c>
      <c r="N820" s="4">
        <v>20</v>
      </c>
      <c r="O820" s="4">
        <f>K820-M820+N820</f>
        <v>614</v>
      </c>
      <c r="P820" t="s">
        <v>43</v>
      </c>
      <c r="Q820" t="b">
        <v>0</v>
      </c>
      <c r="R820" t="s">
        <v>44</v>
      </c>
      <c r="S820" t="s">
        <v>68</v>
      </c>
      <c r="T820" t="s">
        <v>69</v>
      </c>
      <c r="U820" t="s">
        <v>39</v>
      </c>
      <c r="V820" t="s">
        <v>63</v>
      </c>
      <c r="W820" t="s">
        <v>1698</v>
      </c>
      <c r="X820" t="s">
        <v>0</v>
      </c>
      <c r="Y820">
        <v>9007199254741805</v>
      </c>
      <c r="Z820">
        <v>0</v>
      </c>
      <c r="AA820" t="s">
        <v>63</v>
      </c>
      <c r="AB820" t="b">
        <v>0</v>
      </c>
      <c r="AD820" s="3">
        <v>0.125</v>
      </c>
      <c r="AE820" s="2">
        <v>45902.5</v>
      </c>
      <c r="AF820" t="s">
        <v>60</v>
      </c>
    </row>
    <row r="821">
      <c r="A821" t="s">
        <v>1699</v>
      </c>
      <c r="B821" s="2">
        <v>45901.5</v>
      </c>
      <c r="C821" t="s">
        <v>37</v>
      </c>
      <c r="D821" t="s">
        <f>'客户档案'!B3</f>
        <v>38</v>
      </c>
      <c r="E821" t="s">
        <v>51</v>
      </c>
      <c r="F821" t="s">
        <v>52</v>
      </c>
      <c r="G821" t="s">
        <f>'商品目录'!B4</f>
        <v>53</v>
      </c>
      <c r="H821" t="s">
        <v>54</v>
      </c>
      <c r="I821">
        <v>8</v>
      </c>
      <c r="J821" s="4">
        <v>129</v>
      </c>
      <c r="K821" s="4">
        <f>I821*J821</f>
        <v>1032</v>
      </c>
      <c r="L821" s="3">
        <v>0.5</v>
      </c>
      <c r="M821" s="4">
        <f>K821*L821</f>
        <v>516</v>
      </c>
      <c r="N821" s="4">
        <v>0</v>
      </c>
      <c r="O821" s="4">
        <f>K821-M821+N821</f>
        <v>516</v>
      </c>
      <c r="P821" t="s">
        <v>43</v>
      </c>
      <c r="Q821" t="b">
        <v>1</v>
      </c>
      <c r="R821" t="s">
        <v>55</v>
      </c>
      <c r="S821" t="s">
        <v>45</v>
      </c>
      <c r="T821" t="s">
        <v>46</v>
      </c>
      <c r="U821" t="s">
        <v>51</v>
      </c>
      <c r="V821" t="s">
        <v>38</v>
      </c>
      <c r="W821" t="s">
        <v>1700</v>
      </c>
      <c r="X821" t="s">
        <v>59</v>
      </c>
      <c r="Y821">
        <v>9007199254741806</v>
      </c>
      <c r="Z821">
        <v>0</v>
      </c>
      <c r="AA821" t="s">
        <v>38</v>
      </c>
      <c r="AB821" t="b">
        <v>1</v>
      </c>
      <c r="AD821" s="3">
        <v>0.125</v>
      </c>
      <c r="AE821" s="2">
        <v>45903.5</v>
      </c>
      <c r="AF821" t="s">
        <v>60</v>
      </c>
    </row>
    <row r="822">
      <c r="A822" t="s">
        <v>1701</v>
      </c>
      <c r="B822" s="2">
        <v>45902.5</v>
      </c>
      <c r="C822" t="s">
        <v>49</v>
      </c>
      <c r="D822" t="s">
        <f>'客户档案'!B4</f>
        <v>50</v>
      </c>
      <c r="E822" t="s">
        <v>64</v>
      </c>
      <c r="F822" t="s">
        <v>65</v>
      </c>
      <c r="G822" t="s">
        <f>'商品目录'!B5</f>
        <v>66</v>
      </c>
      <c r="H822" t="s">
        <v>67</v>
      </c>
      <c r="I822">
        <v>10</v>
      </c>
      <c r="J822" s="4">
        <v>45</v>
      </c>
      <c r="K822" s="4">
        <f>I822*J822</f>
        <v>450</v>
      </c>
      <c r="L822" s="3">
        <v>0</v>
      </c>
      <c r="M822" s="4">
        <f>K822*L822</f>
        <v>0</v>
      </c>
      <c r="N822" s="4">
        <v>10</v>
      </c>
      <c r="O822" s="4">
        <f>K822-M822+N822</f>
        <v>460</v>
      </c>
      <c r="P822" t="s">
        <v>43</v>
      </c>
      <c r="Q822" t="b">
        <v>1</v>
      </c>
      <c r="R822" t="s">
        <v>55</v>
      </c>
      <c r="S822" t="s">
        <v>56</v>
      </c>
      <c r="T822" t="s">
        <v>57</v>
      </c>
      <c r="U822" t="s">
        <v>70</v>
      </c>
      <c r="V822" t="s">
        <v>50</v>
      </c>
      <c r="W822" t="s">
        <v>1702</v>
      </c>
      <c r="X822" t="s">
        <v>72</v>
      </c>
      <c r="Y822">
        <v>9007199254741807</v>
      </c>
      <c r="Z822">
        <v>0</v>
      </c>
      <c r="AA822" t="s">
        <v>50</v>
      </c>
      <c r="AB822" t="b">
        <v>0</v>
      </c>
      <c r="AD822" s="3">
        <v>0.125</v>
      </c>
      <c r="AE822" s="2">
        <v>45904.5</v>
      </c>
      <c r="AF822" t="s">
        <v>60</v>
      </c>
    </row>
    <row r="823">
      <c r="A823" t="s">
        <v>1703</v>
      </c>
      <c r="B823" s="2">
        <v>45903.5</v>
      </c>
      <c r="C823" t="s">
        <v>62</v>
      </c>
      <c r="D823" t="s">
        <f>'客户档案'!B5</f>
        <v>63</v>
      </c>
      <c r="E823" t="s">
        <v>74</v>
      </c>
      <c r="F823" t="s">
        <v>75</v>
      </c>
      <c r="G823" t="s">
        <f>'商品目录'!B6</f>
        <v>76</v>
      </c>
      <c r="H823" t="s">
        <v>77</v>
      </c>
      <c r="I823">
        <v>2</v>
      </c>
      <c r="J823" s="4">
        <v>8</v>
      </c>
      <c r="K823" s="4">
        <f>I823*J823</f>
        <v>16</v>
      </c>
      <c r="L823" s="3">
        <v>0.5</v>
      </c>
      <c r="M823" s="4">
        <f>K823*L823</f>
        <v>8</v>
      </c>
      <c r="N823" s="4">
        <v>20</v>
      </c>
      <c r="O823" s="4">
        <f>K823-M823+N823</f>
        <v>28</v>
      </c>
      <c r="P823" t="s">
        <v>43</v>
      </c>
      <c r="Q823" t="b">
        <v>1</v>
      </c>
      <c r="R823" t="s">
        <v>55</v>
      </c>
      <c r="S823" t="s">
        <v>68</v>
      </c>
      <c r="T823" t="s">
        <v>69</v>
      </c>
      <c r="U823" t="s">
        <v>78</v>
      </c>
      <c r="V823" t="s">
        <v>63</v>
      </c>
      <c r="W823" t="s">
        <v>1704</v>
      </c>
      <c r="X823" t="s">
        <v>80</v>
      </c>
      <c r="Y823">
        <v>9007199254741808</v>
      </c>
      <c r="Z823">
        <v>0</v>
      </c>
      <c r="AA823" t="s">
        <v>63</v>
      </c>
      <c r="AB823" t="b">
        <v>1</v>
      </c>
      <c r="AD823" s="3">
        <v>0.125</v>
      </c>
      <c r="AE823" s="2">
        <v>45905.5</v>
      </c>
      <c r="AF823" t="s">
        <v>60</v>
      </c>
    </row>
    <row r="824">
      <c r="A824" t="s">
        <v>1705</v>
      </c>
      <c r="B824" s="2">
        <v>45904.5</v>
      </c>
      <c r="C824" t="s">
        <v>37</v>
      </c>
      <c r="D824" t="s">
        <f>'客户档案'!B3</f>
        <v>38</v>
      </c>
      <c r="E824" t="s">
        <v>39</v>
      </c>
      <c r="F824" t="s">
        <v>40</v>
      </c>
      <c r="G824" t="s">
        <f>'商品目录'!B3</f>
        <v>41</v>
      </c>
      <c r="H824" t="s">
        <v>42</v>
      </c>
      <c r="I824">
        <v>4</v>
      </c>
      <c r="J824" s="4">
        <v>99</v>
      </c>
      <c r="K824" s="4">
        <f>I824*J824</f>
        <v>396</v>
      </c>
      <c r="L824" s="3">
        <v>0</v>
      </c>
      <c r="M824" s="4">
        <f>K824*L824</f>
        <v>0</v>
      </c>
      <c r="N824" s="4">
        <v>0</v>
      </c>
      <c r="O824" s="4">
        <f>K824-M824+N824</f>
        <v>396</v>
      </c>
      <c r="P824" t="s">
        <v>43</v>
      </c>
      <c r="Q824" t="b">
        <v>0</v>
      </c>
      <c r="R824" t="s">
        <v>44</v>
      </c>
      <c r="S824" t="s">
        <v>45</v>
      </c>
      <c r="T824" t="s">
        <v>46</v>
      </c>
      <c r="U824" t="s">
        <v>39</v>
      </c>
      <c r="V824" t="s">
        <v>38</v>
      </c>
      <c r="W824" t="s">
        <v>1706</v>
      </c>
      <c r="X824" t="s">
        <v>0</v>
      </c>
      <c r="Y824">
        <v>9007199254741809</v>
      </c>
      <c r="Z824">
        <v>2</v>
      </c>
      <c r="AA824" t="s">
        <v>38</v>
      </c>
      <c r="AB824" t="b">
        <v>0</v>
      </c>
      <c r="AD824" s="3">
        <v>0.125</v>
      </c>
      <c r="AE824" s="2">
        <v>45906.5</v>
      </c>
      <c r="AF824" t="s">
        <v>60</v>
      </c>
    </row>
    <row r="825">
      <c r="A825" t="s">
        <v>1707</v>
      </c>
      <c r="B825" s="2">
        <v>45905.5</v>
      </c>
      <c r="C825" t="s">
        <v>49</v>
      </c>
      <c r="D825" t="s">
        <f>'客户档案'!B4</f>
        <v>50</v>
      </c>
      <c r="E825" t="s">
        <v>51</v>
      </c>
      <c r="F825" t="s">
        <v>52</v>
      </c>
      <c r="G825" t="s">
        <f>'商品目录'!B4</f>
        <v>53</v>
      </c>
      <c r="H825" t="s">
        <v>54</v>
      </c>
      <c r="I825">
        <v>6</v>
      </c>
      <c r="J825" s="4">
        <v>129</v>
      </c>
      <c r="K825" s="4">
        <f>I825*J825</f>
        <v>774</v>
      </c>
      <c r="L825" s="3">
        <v>0.5</v>
      </c>
      <c r="M825" s="4">
        <f>K825*L825</f>
        <v>387</v>
      </c>
      <c r="N825" s="4">
        <v>10</v>
      </c>
      <c r="O825" s="4">
        <f>K825-M825+N825</f>
        <v>397</v>
      </c>
      <c r="P825" t="s">
        <v>43</v>
      </c>
      <c r="Q825" t="b">
        <v>1</v>
      </c>
      <c r="R825" t="s">
        <v>55</v>
      </c>
      <c r="S825" t="s">
        <v>56</v>
      </c>
      <c r="T825" t="s">
        <v>57</v>
      </c>
      <c r="U825" t="s">
        <v>51</v>
      </c>
      <c r="V825" t="s">
        <v>50</v>
      </c>
      <c r="W825" t="s">
        <v>1708</v>
      </c>
      <c r="X825" t="s">
        <v>59</v>
      </c>
      <c r="Y825">
        <v>9007199254741810</v>
      </c>
      <c r="Z825">
        <v>0</v>
      </c>
      <c r="AA825" t="s">
        <v>50</v>
      </c>
      <c r="AB825" t="b">
        <v>1</v>
      </c>
      <c r="AD825" s="3">
        <v>0.125</v>
      </c>
      <c r="AE825" s="2">
        <v>45907.5</v>
      </c>
      <c r="AF825" t="s">
        <v>60</v>
      </c>
    </row>
    <row r="826">
      <c r="A826" t="s">
        <v>1709</v>
      </c>
      <c r="B826" s="2">
        <v>45906.5</v>
      </c>
      <c r="C826" t="s">
        <v>62</v>
      </c>
      <c r="D826" t="s">
        <f>'客户档案'!B5</f>
        <v>63</v>
      </c>
      <c r="E826" t="s">
        <v>64</v>
      </c>
      <c r="F826" t="s">
        <v>65</v>
      </c>
      <c r="G826" t="s">
        <f>'商品目录'!B5</f>
        <v>66</v>
      </c>
      <c r="H826" t="s">
        <v>67</v>
      </c>
      <c r="I826">
        <v>8</v>
      </c>
      <c r="J826" s="4">
        <v>45</v>
      </c>
      <c r="K826" s="4">
        <f>I826*J826</f>
        <v>360</v>
      </c>
      <c r="L826" s="3">
        <v>0</v>
      </c>
      <c r="M826" s="4">
        <f>K826*L826</f>
        <v>0</v>
      </c>
      <c r="N826" s="4">
        <v>20</v>
      </c>
      <c r="O826" s="4">
        <f>K826-M826+N826</f>
        <v>380</v>
      </c>
      <c r="P826" t="s">
        <v>43</v>
      </c>
      <c r="Q826" t="b">
        <v>1</v>
      </c>
      <c r="R826" t="s">
        <v>55</v>
      </c>
      <c r="S826" t="s">
        <v>68</v>
      </c>
      <c r="T826" t="s">
        <v>69</v>
      </c>
      <c r="U826" t="s">
        <v>70</v>
      </c>
      <c r="V826" t="s">
        <v>63</v>
      </c>
      <c r="W826" t="s">
        <v>1710</v>
      </c>
      <c r="X826" t="s">
        <v>72</v>
      </c>
      <c r="Y826">
        <v>9007199254741811</v>
      </c>
      <c r="Z826">
        <v>0</v>
      </c>
      <c r="AA826" t="s">
        <v>63</v>
      </c>
      <c r="AB826" t="b">
        <v>0</v>
      </c>
      <c r="AD826" s="3">
        <v>0.125</v>
      </c>
      <c r="AE826" s="2">
        <v>45908.5</v>
      </c>
      <c r="AF826" t="s">
        <v>60</v>
      </c>
    </row>
    <row r="827">
      <c r="A827" t="s">
        <v>1711</v>
      </c>
      <c r="B827" s="2">
        <v>45907.5</v>
      </c>
      <c r="C827" t="s">
        <v>37</v>
      </c>
      <c r="D827" t="s">
        <f>'客户档案'!B3</f>
        <v>38</v>
      </c>
      <c r="E827" t="s">
        <v>74</v>
      </c>
      <c r="F827" t="s">
        <v>75</v>
      </c>
      <c r="G827" t="s">
        <f>'商品目录'!B6</f>
        <v>76</v>
      </c>
      <c r="H827" t="s">
        <v>77</v>
      </c>
      <c r="I827">
        <v>10</v>
      </c>
      <c r="J827" s="4">
        <v>8</v>
      </c>
      <c r="K827" s="4">
        <f>I827*J827</f>
        <v>80</v>
      </c>
      <c r="L827" s="3">
        <v>0.5</v>
      </c>
      <c r="M827" s="4">
        <f>K827*L827</f>
        <v>40</v>
      </c>
      <c r="N827" s="4">
        <v>0</v>
      </c>
      <c r="O827" s="4">
        <f>K827-M827+N827</f>
        <v>40</v>
      </c>
      <c r="P827" t="s">
        <v>43</v>
      </c>
      <c r="Q827" t="b">
        <v>1</v>
      </c>
      <c r="R827" t="s">
        <v>55</v>
      </c>
      <c r="S827" t="s">
        <v>45</v>
      </c>
      <c r="T827" t="s">
        <v>46</v>
      </c>
      <c r="U827" t="s">
        <v>78</v>
      </c>
      <c r="V827" t="s">
        <v>38</v>
      </c>
      <c r="W827" t="s">
        <v>1712</v>
      </c>
      <c r="X827" t="s">
        <v>80</v>
      </c>
      <c r="Y827">
        <v>9007199254741812</v>
      </c>
      <c r="Z827">
        <v>0</v>
      </c>
      <c r="AA827" t="s">
        <v>38</v>
      </c>
      <c r="AB827" t="b">
        <v>1</v>
      </c>
      <c r="AD827" s="3">
        <v>0.125</v>
      </c>
      <c r="AE827" s="2">
        <v>45909.5</v>
      </c>
      <c r="AF827" t="s">
        <v>60</v>
      </c>
    </row>
    <row r="828">
      <c r="A828" t="s">
        <v>1713</v>
      </c>
      <c r="B828" s="2">
        <v>45908.5</v>
      </c>
      <c r="C828" t="s">
        <v>49</v>
      </c>
      <c r="D828" t="s">
        <f>'客户档案'!B4</f>
        <v>50</v>
      </c>
      <c r="E828" t="s">
        <v>39</v>
      </c>
      <c r="F828" t="s">
        <v>40</v>
      </c>
      <c r="G828" t="s">
        <f>'商品目录'!B3</f>
        <v>41</v>
      </c>
      <c r="H828" t="s">
        <v>42</v>
      </c>
      <c r="I828">
        <v>2</v>
      </c>
      <c r="J828" s="4">
        <v>99</v>
      </c>
      <c r="K828" s="4">
        <f>I828*J828</f>
        <v>198</v>
      </c>
      <c r="L828" s="3">
        <v>0</v>
      </c>
      <c r="M828" s="4">
        <f>K828*L828</f>
        <v>0</v>
      </c>
      <c r="N828" s="4">
        <v>10</v>
      </c>
      <c r="O828" s="4">
        <f>K828-M828+N828</f>
        <v>208</v>
      </c>
      <c r="P828" t="s">
        <v>43</v>
      </c>
      <c r="Q828" t="b">
        <v>0</v>
      </c>
      <c r="R828" t="s">
        <v>44</v>
      </c>
      <c r="S828" t="s">
        <v>56</v>
      </c>
      <c r="T828" t="s">
        <v>57</v>
      </c>
      <c r="U828" t="s">
        <v>39</v>
      </c>
      <c r="V828" t="s">
        <v>50</v>
      </c>
      <c r="W828" t="s">
        <v>1714</v>
      </c>
      <c r="X828" t="s">
        <v>0</v>
      </c>
      <c r="Y828">
        <v>9007199254741813</v>
      </c>
      <c r="Z828">
        <v>0</v>
      </c>
      <c r="AA828" t="s">
        <v>50</v>
      </c>
      <c r="AB828" t="b">
        <v>0</v>
      </c>
      <c r="AD828" s="3">
        <v>0.125</v>
      </c>
      <c r="AE828" s="2">
        <v>45910.5</v>
      </c>
      <c r="AF828" t="s">
        <v>60</v>
      </c>
    </row>
    <row r="829">
      <c r="A829" t="s">
        <v>1715</v>
      </c>
      <c r="B829" s="2">
        <v>45909.5</v>
      </c>
      <c r="C829" t="s">
        <v>62</v>
      </c>
      <c r="D829" t="s">
        <f>'客户档案'!B5</f>
        <v>63</v>
      </c>
      <c r="E829" t="s">
        <v>51</v>
      </c>
      <c r="F829" t="s">
        <v>52</v>
      </c>
      <c r="G829" t="s">
        <f>'商品目录'!B4</f>
        <v>53</v>
      </c>
      <c r="H829" t="s">
        <v>54</v>
      </c>
      <c r="I829">
        <v>4</v>
      </c>
      <c r="J829" s="4">
        <v>129</v>
      </c>
      <c r="K829" s="4">
        <f>I829*J829</f>
        <v>516</v>
      </c>
      <c r="L829" s="3">
        <v>0.5</v>
      </c>
      <c r="M829" s="4">
        <f>K829*L829</f>
        <v>258</v>
      </c>
      <c r="N829" s="4">
        <v>20</v>
      </c>
      <c r="O829" s="4">
        <f>K829-M829+N829</f>
        <v>278</v>
      </c>
      <c r="P829" t="s">
        <v>43</v>
      </c>
      <c r="Q829" t="b">
        <v>1</v>
      </c>
      <c r="R829" t="s">
        <v>55</v>
      </c>
      <c r="S829" t="s">
        <v>68</v>
      </c>
      <c r="T829" t="s">
        <v>69</v>
      </c>
      <c r="U829" t="s">
        <v>51</v>
      </c>
      <c r="V829" t="s">
        <v>63</v>
      </c>
      <c r="W829" t="s">
        <v>1716</v>
      </c>
      <c r="X829" t="s">
        <v>59</v>
      </c>
      <c r="Y829">
        <v>9007199254741814</v>
      </c>
      <c r="Z829">
        <v>0</v>
      </c>
      <c r="AA829" t="s">
        <v>63</v>
      </c>
      <c r="AB829" t="b">
        <v>1</v>
      </c>
      <c r="AD829" s="3">
        <v>0.125</v>
      </c>
      <c r="AE829" s="2">
        <v>45911.5</v>
      </c>
      <c r="AF829" t="s">
        <v>60</v>
      </c>
    </row>
    <row r="830">
      <c r="A830" t="s">
        <v>1717</v>
      </c>
      <c r="B830" s="2">
        <v>45910.5</v>
      </c>
      <c r="C830" t="s">
        <v>37</v>
      </c>
      <c r="D830" t="s">
        <f>'客户档案'!B3</f>
        <v>38</v>
      </c>
      <c r="E830" t="s">
        <v>64</v>
      </c>
      <c r="F830" t="s">
        <v>65</v>
      </c>
      <c r="G830" t="s">
        <f>'商品目录'!B5</f>
        <v>66</v>
      </c>
      <c r="H830" t="s">
        <v>67</v>
      </c>
      <c r="I830">
        <v>6</v>
      </c>
      <c r="J830" s="4">
        <v>45</v>
      </c>
      <c r="K830" s="4">
        <f>I830*J830</f>
        <v>270</v>
      </c>
      <c r="L830" s="3">
        <v>0</v>
      </c>
      <c r="M830" s="4">
        <f>K830*L830</f>
        <v>0</v>
      </c>
      <c r="N830" s="4">
        <v>0</v>
      </c>
      <c r="O830" s="4">
        <f>K830-M830+N830</f>
        <v>270</v>
      </c>
      <c r="P830" t="s">
        <v>43</v>
      </c>
      <c r="Q830" t="b">
        <v>1</v>
      </c>
      <c r="R830" t="s">
        <v>55</v>
      </c>
      <c r="S830" t="s">
        <v>45</v>
      </c>
      <c r="T830" t="s">
        <v>46</v>
      </c>
      <c r="U830" t="s">
        <v>70</v>
      </c>
      <c r="V830" t="s">
        <v>38</v>
      </c>
      <c r="W830" t="s">
        <v>1718</v>
      </c>
      <c r="X830" t="s">
        <v>72</v>
      </c>
      <c r="Y830">
        <v>9007199254741815</v>
      </c>
      <c r="Z830">
        <v>0</v>
      </c>
      <c r="AA830" t="s">
        <v>38</v>
      </c>
      <c r="AB830" t="b">
        <v>0</v>
      </c>
      <c r="AD830" s="3">
        <v>0.125</v>
      </c>
      <c r="AE830" s="2">
        <v>45912.5</v>
      </c>
      <c r="AF830" t="s">
        <v>60</v>
      </c>
    </row>
    <row r="831">
      <c r="A831" t="s">
        <v>1719</v>
      </c>
      <c r="B831" s="2">
        <v>45911.5</v>
      </c>
      <c r="C831" t="s">
        <v>49</v>
      </c>
      <c r="D831" t="s">
        <f>'客户档案'!B4</f>
        <v>50</v>
      </c>
      <c r="E831" t="s">
        <v>74</v>
      </c>
      <c r="F831" t="s">
        <v>75</v>
      </c>
      <c r="G831" t="s">
        <f>'商品目录'!B6</f>
        <v>76</v>
      </c>
      <c r="H831" t="s">
        <v>77</v>
      </c>
      <c r="I831">
        <v>8</v>
      </c>
      <c r="J831" s="4">
        <v>8</v>
      </c>
      <c r="K831" s="4">
        <f>I831*J831</f>
        <v>64</v>
      </c>
      <c r="L831" s="3">
        <v>0.5</v>
      </c>
      <c r="M831" s="4">
        <f>K831*L831</f>
        <v>32</v>
      </c>
      <c r="N831" s="4">
        <v>10</v>
      </c>
      <c r="O831" s="4">
        <f>K831-M831+N831</f>
        <v>42</v>
      </c>
      <c r="P831" t="s">
        <v>43</v>
      </c>
      <c r="Q831" t="b">
        <v>1</v>
      </c>
      <c r="R831" t="s">
        <v>55</v>
      </c>
      <c r="S831" t="s">
        <v>56</v>
      </c>
      <c r="T831" t="s">
        <v>57</v>
      </c>
      <c r="U831" t="s">
        <v>78</v>
      </c>
      <c r="V831" t="s">
        <v>50</v>
      </c>
      <c r="W831" t="s">
        <v>1720</v>
      </c>
      <c r="X831" t="s">
        <v>80</v>
      </c>
      <c r="Y831">
        <v>9007199254741816</v>
      </c>
      <c r="Z831">
        <v>0</v>
      </c>
      <c r="AA831" t="s">
        <v>50</v>
      </c>
      <c r="AB831" t="b">
        <v>1</v>
      </c>
      <c r="AD831" s="3">
        <v>0.125</v>
      </c>
      <c r="AE831" s="2">
        <v>45913.5</v>
      </c>
      <c r="AF831" t="s">
        <v>60</v>
      </c>
    </row>
    <row r="832">
      <c r="A832" t="s">
        <v>1721</v>
      </c>
      <c r="B832" s="2">
        <v>45912.5</v>
      </c>
      <c r="C832" t="s">
        <v>62</v>
      </c>
      <c r="D832" t="s">
        <f>'客户档案'!B5</f>
        <v>63</v>
      </c>
      <c r="E832" t="s">
        <v>39</v>
      </c>
      <c r="F832" t="s">
        <v>40</v>
      </c>
      <c r="G832" t="s">
        <f>'商品目录'!B3</f>
        <v>41</v>
      </c>
      <c r="H832" t="s">
        <v>42</v>
      </c>
      <c r="I832">
        <v>10</v>
      </c>
      <c r="J832" s="4">
        <v>99</v>
      </c>
      <c r="K832" s="4">
        <f>I832*J832</f>
        <v>990</v>
      </c>
      <c r="L832" s="3">
        <v>0</v>
      </c>
      <c r="M832" s="4">
        <f>K832*L832</f>
        <v>0</v>
      </c>
      <c r="N832" s="4">
        <v>20</v>
      </c>
      <c r="O832" s="4">
        <f>K832-M832+N832</f>
        <v>1010</v>
      </c>
      <c r="P832" t="s">
        <v>43</v>
      </c>
      <c r="Q832" t="b">
        <v>0</v>
      </c>
      <c r="R832" t="s">
        <v>44</v>
      </c>
      <c r="S832" t="s">
        <v>68</v>
      </c>
      <c r="T832" t="s">
        <v>69</v>
      </c>
      <c r="U832" t="s">
        <v>39</v>
      </c>
      <c r="V832" t="s">
        <v>63</v>
      </c>
      <c r="W832" t="s">
        <v>1722</v>
      </c>
      <c r="X832" t="s">
        <v>0</v>
      </c>
      <c r="Y832">
        <v>9007199254741817</v>
      </c>
      <c r="Z832">
        <v>0</v>
      </c>
      <c r="AA832" t="s">
        <v>63</v>
      </c>
      <c r="AB832" t="b">
        <v>0</v>
      </c>
      <c r="AD832" s="3">
        <v>0.125</v>
      </c>
      <c r="AE832" s="2">
        <v>45914.5</v>
      </c>
      <c r="AF832" t="s">
        <v>60</v>
      </c>
    </row>
    <row r="833">
      <c r="A833" t="s">
        <v>1723</v>
      </c>
      <c r="B833" s="2">
        <v>45913.5</v>
      </c>
      <c r="C833" t="s">
        <v>37</v>
      </c>
      <c r="D833" t="s">
        <f>'客户档案'!B3</f>
        <v>38</v>
      </c>
      <c r="E833" t="s">
        <v>51</v>
      </c>
      <c r="F833" t="s">
        <v>52</v>
      </c>
      <c r="G833" t="s">
        <f>'商品目录'!B4</f>
        <v>53</v>
      </c>
      <c r="H833" t="s">
        <v>54</v>
      </c>
      <c r="I833">
        <v>2</v>
      </c>
      <c r="J833" s="4">
        <v>129</v>
      </c>
      <c r="K833" s="4">
        <f>I833*J833</f>
        <v>258</v>
      </c>
      <c r="L833" s="3">
        <v>0.5</v>
      </c>
      <c r="M833" s="4">
        <f>K833*L833</f>
        <v>129</v>
      </c>
      <c r="N833" s="4">
        <v>0</v>
      </c>
      <c r="O833" s="4">
        <f>K833-M833+N833</f>
        <v>129</v>
      </c>
      <c r="P833" t="s">
        <v>43</v>
      </c>
      <c r="Q833" t="b">
        <v>1</v>
      </c>
      <c r="R833" t="s">
        <v>55</v>
      </c>
      <c r="S833" t="s">
        <v>45</v>
      </c>
      <c r="T833" t="s">
        <v>46</v>
      </c>
      <c r="U833" t="s">
        <v>51</v>
      </c>
      <c r="V833" t="s">
        <v>38</v>
      </c>
      <c r="W833" t="s">
        <v>1724</v>
      </c>
      <c r="X833" t="s">
        <v>59</v>
      </c>
      <c r="Y833">
        <v>9007199254741818</v>
      </c>
      <c r="Z833">
        <v>0</v>
      </c>
      <c r="AA833" t="s">
        <v>38</v>
      </c>
      <c r="AB833" t="b">
        <v>1</v>
      </c>
      <c r="AD833" s="3">
        <v>0.125</v>
      </c>
      <c r="AE833" s="2">
        <v>45915.5</v>
      </c>
      <c r="AF833" t="s">
        <v>60</v>
      </c>
    </row>
    <row r="834">
      <c r="A834" t="s">
        <v>1725</v>
      </c>
      <c r="B834" s="2">
        <v>45914.5</v>
      </c>
      <c r="C834" t="s">
        <v>49</v>
      </c>
      <c r="D834" t="s">
        <f>'客户档案'!B4</f>
        <v>50</v>
      </c>
      <c r="E834" t="s">
        <v>64</v>
      </c>
      <c r="F834" t="s">
        <v>65</v>
      </c>
      <c r="G834" t="s">
        <f>'商品目录'!B5</f>
        <v>66</v>
      </c>
      <c r="H834" t="s">
        <v>67</v>
      </c>
      <c r="I834">
        <v>4</v>
      </c>
      <c r="J834" s="4">
        <v>45</v>
      </c>
      <c r="K834" s="4">
        <f>I834*J834</f>
        <v>180</v>
      </c>
      <c r="L834" s="3">
        <v>0</v>
      </c>
      <c r="M834" s="4">
        <f>K834*L834</f>
        <v>0</v>
      </c>
      <c r="N834" s="4">
        <v>10</v>
      </c>
      <c r="O834" s="4">
        <f>K834-M834+N834</f>
        <v>190</v>
      </c>
      <c r="P834" t="s">
        <v>43</v>
      </c>
      <c r="Q834" t="b">
        <v>1</v>
      </c>
      <c r="R834" t="s">
        <v>55</v>
      </c>
      <c r="S834" t="s">
        <v>56</v>
      </c>
      <c r="T834" t="s">
        <v>57</v>
      </c>
      <c r="U834" t="s">
        <v>70</v>
      </c>
      <c r="V834" t="s">
        <v>50</v>
      </c>
      <c r="W834" t="s">
        <v>1726</v>
      </c>
      <c r="X834" t="s">
        <v>72</v>
      </c>
      <c r="Y834">
        <v>9007199254741819</v>
      </c>
      <c r="Z834">
        <v>0</v>
      </c>
      <c r="AA834" t="s">
        <v>50</v>
      </c>
      <c r="AB834" t="b">
        <v>0</v>
      </c>
      <c r="AD834" s="3">
        <v>0.125</v>
      </c>
      <c r="AE834" s="2">
        <v>45916.5</v>
      </c>
      <c r="AF834" t="s">
        <v>60</v>
      </c>
    </row>
    <row r="835">
      <c r="A835" t="s">
        <v>1727</v>
      </c>
      <c r="B835" s="2">
        <v>45915.5</v>
      </c>
      <c r="C835" t="s">
        <v>62</v>
      </c>
      <c r="D835" t="s">
        <f>'客户档案'!B5</f>
        <v>63</v>
      </c>
      <c r="E835" t="s">
        <v>74</v>
      </c>
      <c r="F835" t="s">
        <v>75</v>
      </c>
      <c r="G835" t="s">
        <f>'商品目录'!B6</f>
        <v>76</v>
      </c>
      <c r="H835" t="s">
        <v>77</v>
      </c>
      <c r="I835">
        <v>6</v>
      </c>
      <c r="J835" s="4">
        <v>8</v>
      </c>
      <c r="K835" s="4">
        <f>I835*J835</f>
        <v>48</v>
      </c>
      <c r="L835" s="3">
        <v>0.5</v>
      </c>
      <c r="M835" s="4">
        <f>K835*L835</f>
        <v>24</v>
      </c>
      <c r="N835" s="4">
        <v>20</v>
      </c>
      <c r="O835" s="4">
        <f>K835-M835+N835</f>
        <v>44</v>
      </c>
      <c r="P835" t="s">
        <v>43</v>
      </c>
      <c r="Q835" t="b">
        <v>1</v>
      </c>
      <c r="R835" t="s">
        <v>55</v>
      </c>
      <c r="S835" t="s">
        <v>68</v>
      </c>
      <c r="T835" t="s">
        <v>69</v>
      </c>
      <c r="U835" t="s">
        <v>78</v>
      </c>
      <c r="V835" t="s">
        <v>63</v>
      </c>
      <c r="W835" t="s">
        <v>1728</v>
      </c>
      <c r="X835" t="s">
        <v>80</v>
      </c>
      <c r="Y835">
        <v>9007199254741820</v>
      </c>
      <c r="Z835">
        <v>0</v>
      </c>
      <c r="AA835" t="s">
        <v>63</v>
      </c>
      <c r="AB835" t="b">
        <v>1</v>
      </c>
      <c r="AD835" s="3">
        <v>0.125</v>
      </c>
      <c r="AE835" s="2">
        <v>45917.5</v>
      </c>
      <c r="AF835" t="s">
        <v>60</v>
      </c>
    </row>
    <row r="836">
      <c r="A836" t="s">
        <v>1729</v>
      </c>
      <c r="B836" s="2">
        <v>45916.5</v>
      </c>
      <c r="C836" t="s">
        <v>37</v>
      </c>
      <c r="D836" t="s">
        <f>'客户档案'!B3</f>
        <v>38</v>
      </c>
      <c r="E836" t="s">
        <v>39</v>
      </c>
      <c r="F836" t="s">
        <v>40</v>
      </c>
      <c r="G836" t="s">
        <f>'商品目录'!B3</f>
        <v>41</v>
      </c>
      <c r="H836" t="s">
        <v>42</v>
      </c>
      <c r="I836">
        <v>8</v>
      </c>
      <c r="J836" s="4">
        <v>99</v>
      </c>
      <c r="K836" s="4">
        <f>I836*J836</f>
        <v>792</v>
      </c>
      <c r="L836" s="3">
        <v>0</v>
      </c>
      <c r="M836" s="4">
        <f>K836*L836</f>
        <v>0</v>
      </c>
      <c r="N836" s="4">
        <v>0</v>
      </c>
      <c r="O836" s="4">
        <f>K836-M836+N836</f>
        <v>792</v>
      </c>
      <c r="P836" t="s">
        <v>43</v>
      </c>
      <c r="Q836" t="b">
        <v>0</v>
      </c>
      <c r="R836" t="s">
        <v>44</v>
      </c>
      <c r="S836" t="s">
        <v>45</v>
      </c>
      <c r="T836" t="s">
        <v>46</v>
      </c>
      <c r="U836" t="s">
        <v>39</v>
      </c>
      <c r="V836" t="s">
        <v>38</v>
      </c>
      <c r="W836" t="s">
        <v>1730</v>
      </c>
      <c r="X836" t="s">
        <v>0</v>
      </c>
      <c r="Y836">
        <v>9007199254741821</v>
      </c>
      <c r="Z836">
        <v>0</v>
      </c>
      <c r="AA836" t="s">
        <v>38</v>
      </c>
      <c r="AB836" t="b">
        <v>0</v>
      </c>
      <c r="AD836" s="3">
        <v>0.125</v>
      </c>
      <c r="AE836" s="2">
        <v>45918.5</v>
      </c>
      <c r="AF836" t="s">
        <v>60</v>
      </c>
    </row>
    <row r="837">
      <c r="A837" t="s">
        <v>1731</v>
      </c>
      <c r="B837" s="2">
        <v>45917.5</v>
      </c>
      <c r="C837" t="s">
        <v>49</v>
      </c>
      <c r="D837" t="s">
        <f>'客户档案'!B4</f>
        <v>50</v>
      </c>
      <c r="E837" t="s">
        <v>51</v>
      </c>
      <c r="F837" t="s">
        <v>52</v>
      </c>
      <c r="G837" t="s">
        <f>'商品目录'!B4</f>
        <v>53</v>
      </c>
      <c r="H837" t="s">
        <v>54</v>
      </c>
      <c r="I837">
        <v>10</v>
      </c>
      <c r="J837" s="4">
        <v>129</v>
      </c>
      <c r="K837" s="4">
        <f>I837*J837</f>
        <v>1290</v>
      </c>
      <c r="L837" s="3">
        <v>0.5</v>
      </c>
      <c r="M837" s="4">
        <f>K837*L837</f>
        <v>645</v>
      </c>
      <c r="N837" s="4">
        <v>10</v>
      </c>
      <c r="O837" s="4">
        <f>K837-M837+N837</f>
        <v>655</v>
      </c>
      <c r="P837" t="s">
        <v>43</v>
      </c>
      <c r="Q837" t="b">
        <v>1</v>
      </c>
      <c r="R837" t="s">
        <v>55</v>
      </c>
      <c r="S837" t="s">
        <v>56</v>
      </c>
      <c r="T837" t="s">
        <v>57</v>
      </c>
      <c r="U837" t="s">
        <v>51</v>
      </c>
      <c r="V837" t="s">
        <v>50</v>
      </c>
      <c r="W837" t="s">
        <v>1732</v>
      </c>
      <c r="X837" t="s">
        <v>59</v>
      </c>
      <c r="Y837">
        <v>9007199254741822</v>
      </c>
      <c r="Z837">
        <v>0</v>
      </c>
      <c r="AA837" t="s">
        <v>50</v>
      </c>
      <c r="AB837" t="b">
        <v>1</v>
      </c>
      <c r="AD837" s="3">
        <v>0.125</v>
      </c>
      <c r="AE837" s="2">
        <v>45919.5</v>
      </c>
      <c r="AF837" t="s">
        <v>60</v>
      </c>
    </row>
    <row r="838">
      <c r="A838" t="s">
        <v>1733</v>
      </c>
      <c r="B838" s="2">
        <v>45918.5</v>
      </c>
      <c r="C838" t="s">
        <v>62</v>
      </c>
      <c r="D838" t="s">
        <f>'客户档案'!B5</f>
        <v>63</v>
      </c>
      <c r="E838" t="s">
        <v>64</v>
      </c>
      <c r="F838" t="s">
        <v>65</v>
      </c>
      <c r="G838" t="s">
        <f>'商品目录'!B5</f>
        <v>66</v>
      </c>
      <c r="H838" t="s">
        <v>67</v>
      </c>
      <c r="I838">
        <v>2</v>
      </c>
      <c r="J838" s="4">
        <v>45</v>
      </c>
      <c r="K838" s="4">
        <f>I838*J838</f>
        <v>90</v>
      </c>
      <c r="L838" s="3">
        <v>0</v>
      </c>
      <c r="M838" s="4">
        <f>K838*L838</f>
        <v>0</v>
      </c>
      <c r="N838" s="4">
        <v>20</v>
      </c>
      <c r="O838" s="4">
        <f>K838-M838+N838</f>
        <v>110</v>
      </c>
      <c r="P838" t="s">
        <v>43</v>
      </c>
      <c r="Q838" t="b">
        <v>1</v>
      </c>
      <c r="R838" t="s">
        <v>55</v>
      </c>
      <c r="S838" t="s">
        <v>68</v>
      </c>
      <c r="T838" t="s">
        <v>69</v>
      </c>
      <c r="U838" t="s">
        <v>70</v>
      </c>
      <c r="V838" t="s">
        <v>63</v>
      </c>
      <c r="W838" t="s">
        <v>1734</v>
      </c>
      <c r="X838" t="s">
        <v>72</v>
      </c>
      <c r="Y838">
        <v>9007199254741823</v>
      </c>
      <c r="Z838">
        <v>0</v>
      </c>
      <c r="AA838" t="s">
        <v>63</v>
      </c>
      <c r="AB838" t="b">
        <v>0</v>
      </c>
      <c r="AD838" s="3">
        <v>0.125</v>
      </c>
      <c r="AE838" s="2">
        <v>45920.5</v>
      </c>
      <c r="AF838" t="s">
        <v>60</v>
      </c>
    </row>
    <row r="839">
      <c r="A839" t="s">
        <v>1735</v>
      </c>
      <c r="B839" s="2">
        <v>45919.5</v>
      </c>
      <c r="C839" t="s">
        <v>37</v>
      </c>
      <c r="D839" t="s">
        <f>'客户档案'!B3</f>
        <v>38</v>
      </c>
      <c r="E839" t="s">
        <v>74</v>
      </c>
      <c r="F839" t="s">
        <v>75</v>
      </c>
      <c r="G839" t="s">
        <f>'商品目录'!B6</f>
        <v>76</v>
      </c>
      <c r="H839" t="s">
        <v>77</v>
      </c>
      <c r="I839">
        <v>4</v>
      </c>
      <c r="J839" s="4">
        <v>8</v>
      </c>
      <c r="K839" s="4">
        <f>I839*J839</f>
        <v>32</v>
      </c>
      <c r="L839" s="3">
        <v>0.5</v>
      </c>
      <c r="M839" s="4">
        <f>K839*L839</f>
        <v>16</v>
      </c>
      <c r="N839" s="4">
        <v>0</v>
      </c>
      <c r="O839" s="4">
        <f>K839-M839+N839</f>
        <v>16</v>
      </c>
      <c r="P839" t="s">
        <v>43</v>
      </c>
      <c r="Q839" t="b">
        <v>1</v>
      </c>
      <c r="R839" t="s">
        <v>55</v>
      </c>
      <c r="S839" t="s">
        <v>45</v>
      </c>
      <c r="T839" t="s">
        <v>46</v>
      </c>
      <c r="U839" t="s">
        <v>78</v>
      </c>
      <c r="V839" t="s">
        <v>38</v>
      </c>
      <c r="W839" t="s">
        <v>1736</v>
      </c>
      <c r="X839" t="s">
        <v>80</v>
      </c>
      <c r="Y839">
        <v>9007199254741824</v>
      </c>
      <c r="Z839">
        <v>0</v>
      </c>
      <c r="AA839" t="s">
        <v>38</v>
      </c>
      <c r="AB839" t="b">
        <v>1</v>
      </c>
      <c r="AD839" s="3">
        <v>0.125</v>
      </c>
      <c r="AE839" s="2">
        <v>45921.5</v>
      </c>
      <c r="AF839" t="s">
        <v>60</v>
      </c>
    </row>
    <row r="840">
      <c r="A840" t="s">
        <v>1737</v>
      </c>
      <c r="B840" s="2">
        <v>45920.5</v>
      </c>
      <c r="C840" t="s">
        <v>49</v>
      </c>
      <c r="D840" t="s">
        <f>'客户档案'!B4</f>
        <v>50</v>
      </c>
      <c r="E840" t="s">
        <v>39</v>
      </c>
      <c r="F840" t="s">
        <v>40</v>
      </c>
      <c r="G840" t="s">
        <f>'商品目录'!B3</f>
        <v>41</v>
      </c>
      <c r="H840" t="s">
        <v>42</v>
      </c>
      <c r="I840">
        <v>6</v>
      </c>
      <c r="J840" s="4">
        <v>99</v>
      </c>
      <c r="K840" s="4">
        <f>I840*J840</f>
        <v>594</v>
      </c>
      <c r="L840" s="3">
        <v>0</v>
      </c>
      <c r="M840" s="4">
        <f>K840*L840</f>
        <v>0</v>
      </c>
      <c r="N840" s="4">
        <v>10</v>
      </c>
      <c r="O840" s="4">
        <f>K840-M840+N840</f>
        <v>604</v>
      </c>
      <c r="P840" t="s">
        <v>43</v>
      </c>
      <c r="Q840" t="b">
        <v>0</v>
      </c>
      <c r="R840" t="s">
        <v>44</v>
      </c>
      <c r="S840" t="s">
        <v>56</v>
      </c>
      <c r="T840" t="s">
        <v>57</v>
      </c>
      <c r="U840" t="s">
        <v>39</v>
      </c>
      <c r="V840" t="s">
        <v>50</v>
      </c>
      <c r="W840" t="s">
        <v>1738</v>
      </c>
      <c r="X840" t="s">
        <v>0</v>
      </c>
      <c r="Y840">
        <v>9007199254741825</v>
      </c>
      <c r="Z840">
        <v>0</v>
      </c>
      <c r="AA840" t="s">
        <v>50</v>
      </c>
      <c r="AB840" t="b">
        <v>0</v>
      </c>
      <c r="AD840" s="3">
        <v>0.125</v>
      </c>
      <c r="AE840" s="2">
        <v>45922.5</v>
      </c>
      <c r="AF840" t="s">
        <v>60</v>
      </c>
    </row>
    <row r="841">
      <c r="A841" t="s">
        <v>1739</v>
      </c>
      <c r="B841" s="2">
        <v>45921.5</v>
      </c>
      <c r="C841" t="s">
        <v>62</v>
      </c>
      <c r="D841" t="s">
        <f>'客户档案'!B5</f>
        <v>63</v>
      </c>
      <c r="E841" t="s">
        <v>51</v>
      </c>
      <c r="F841" t="s">
        <v>52</v>
      </c>
      <c r="G841" t="s">
        <f>'商品目录'!B4</f>
        <v>53</v>
      </c>
      <c r="H841" t="s">
        <v>54</v>
      </c>
      <c r="I841">
        <v>8</v>
      </c>
      <c r="J841" s="4">
        <v>129</v>
      </c>
      <c r="K841" s="4">
        <f>I841*J841</f>
        <v>1032</v>
      </c>
      <c r="L841" s="3">
        <v>0.5</v>
      </c>
      <c r="M841" s="4">
        <f>K841*L841</f>
        <v>516</v>
      </c>
      <c r="N841" s="4">
        <v>20</v>
      </c>
      <c r="O841" s="4">
        <f>K841-M841+N841</f>
        <v>536</v>
      </c>
      <c r="P841" t="s">
        <v>43</v>
      </c>
      <c r="Q841" t="b">
        <v>1</v>
      </c>
      <c r="R841" t="s">
        <v>55</v>
      </c>
      <c r="S841" t="s">
        <v>68</v>
      </c>
      <c r="T841" t="s">
        <v>69</v>
      </c>
      <c r="U841" t="s">
        <v>51</v>
      </c>
      <c r="V841" t="s">
        <v>63</v>
      </c>
      <c r="W841" t="s">
        <v>1740</v>
      </c>
      <c r="X841" t="s">
        <v>59</v>
      </c>
      <c r="Y841">
        <v>9007199254741826</v>
      </c>
      <c r="Z841">
        <v>2</v>
      </c>
      <c r="AA841" t="s">
        <v>63</v>
      </c>
      <c r="AB841" t="b">
        <v>1</v>
      </c>
      <c r="AD841" s="3">
        <v>0.125</v>
      </c>
      <c r="AE841" s="2">
        <v>45923.5</v>
      </c>
      <c r="AF841" t="s">
        <v>60</v>
      </c>
    </row>
    <row r="842">
      <c r="A842" t="s">
        <v>1741</v>
      </c>
      <c r="B842" s="2">
        <v>45922.5</v>
      </c>
      <c r="C842" t="s">
        <v>37</v>
      </c>
      <c r="D842" t="s">
        <f>'客户档案'!B3</f>
        <v>38</v>
      </c>
      <c r="E842" t="s">
        <v>64</v>
      </c>
      <c r="F842" t="s">
        <v>65</v>
      </c>
      <c r="G842" t="s">
        <f>'商品目录'!B5</f>
        <v>66</v>
      </c>
      <c r="H842" t="s">
        <v>67</v>
      </c>
      <c r="I842">
        <v>10</v>
      </c>
      <c r="J842" s="4">
        <v>45</v>
      </c>
      <c r="K842" s="4">
        <f>I842*J842</f>
        <v>450</v>
      </c>
      <c r="L842" s="3">
        <v>0</v>
      </c>
      <c r="M842" s="4">
        <f>K842*L842</f>
        <v>0</v>
      </c>
      <c r="N842" s="4">
        <v>0</v>
      </c>
      <c r="O842" s="4">
        <f>K842-M842+N842</f>
        <v>450</v>
      </c>
      <c r="P842" t="s">
        <v>43</v>
      </c>
      <c r="Q842" t="b">
        <v>1</v>
      </c>
      <c r="R842" t="s">
        <v>55</v>
      </c>
      <c r="S842" t="s">
        <v>45</v>
      </c>
      <c r="T842" t="s">
        <v>46</v>
      </c>
      <c r="U842" t="s">
        <v>70</v>
      </c>
      <c r="V842" t="s">
        <v>38</v>
      </c>
      <c r="W842" t="s">
        <v>1742</v>
      </c>
      <c r="X842" t="s">
        <v>72</v>
      </c>
      <c r="Y842">
        <v>9007199254741827</v>
      </c>
      <c r="Z842">
        <v>0</v>
      </c>
      <c r="AA842" t="s">
        <v>38</v>
      </c>
      <c r="AB842" t="b">
        <v>0</v>
      </c>
      <c r="AD842" s="3">
        <v>0.125</v>
      </c>
      <c r="AE842" s="2">
        <v>45924.5</v>
      </c>
      <c r="AF842" t="s">
        <v>60</v>
      </c>
    </row>
    <row r="843">
      <c r="A843" t="s">
        <v>1743</v>
      </c>
      <c r="B843" s="2">
        <v>45923.5</v>
      </c>
      <c r="C843" t="s">
        <v>49</v>
      </c>
      <c r="D843" t="s">
        <f>'客户档案'!B4</f>
        <v>50</v>
      </c>
      <c r="E843" t="s">
        <v>74</v>
      </c>
      <c r="F843" t="s">
        <v>75</v>
      </c>
      <c r="G843" t="s">
        <f>'商品目录'!B6</f>
        <v>76</v>
      </c>
      <c r="H843" t="s">
        <v>77</v>
      </c>
      <c r="I843">
        <v>2</v>
      </c>
      <c r="J843" s="4">
        <v>8</v>
      </c>
      <c r="K843" s="4">
        <f>I843*J843</f>
        <v>16</v>
      </c>
      <c r="L843" s="3">
        <v>0.5</v>
      </c>
      <c r="M843" s="4">
        <f>K843*L843</f>
        <v>8</v>
      </c>
      <c r="N843" s="4">
        <v>10</v>
      </c>
      <c r="O843" s="4">
        <f>K843-M843+N843</f>
        <v>18</v>
      </c>
      <c r="P843" t="s">
        <v>43</v>
      </c>
      <c r="Q843" t="b">
        <v>1</v>
      </c>
      <c r="R843" t="s">
        <v>55</v>
      </c>
      <c r="S843" t="s">
        <v>56</v>
      </c>
      <c r="T843" t="s">
        <v>57</v>
      </c>
      <c r="U843" t="s">
        <v>78</v>
      </c>
      <c r="V843" t="s">
        <v>50</v>
      </c>
      <c r="W843" t="s">
        <v>1744</v>
      </c>
      <c r="X843" t="s">
        <v>80</v>
      </c>
      <c r="Y843">
        <v>9007199254741828</v>
      </c>
      <c r="Z843">
        <v>0</v>
      </c>
      <c r="AA843" t="s">
        <v>50</v>
      </c>
      <c r="AB843" t="b">
        <v>1</v>
      </c>
      <c r="AD843" s="3">
        <v>0.125</v>
      </c>
      <c r="AE843" s="2">
        <v>45925.5</v>
      </c>
      <c r="AF843" t="s">
        <v>60</v>
      </c>
    </row>
    <row r="844">
      <c r="A844" t="s">
        <v>1745</v>
      </c>
      <c r="B844" s="2">
        <v>45924.5</v>
      </c>
      <c r="C844" t="s">
        <v>62</v>
      </c>
      <c r="D844" t="s">
        <f>'客户档案'!B5</f>
        <v>63</v>
      </c>
      <c r="E844" t="s">
        <v>39</v>
      </c>
      <c r="F844" t="s">
        <v>40</v>
      </c>
      <c r="G844" t="s">
        <f>'商品目录'!B3</f>
        <v>41</v>
      </c>
      <c r="H844" t="s">
        <v>42</v>
      </c>
      <c r="I844">
        <v>4</v>
      </c>
      <c r="J844" s="4">
        <v>99</v>
      </c>
      <c r="K844" s="4">
        <f>I844*J844</f>
        <v>396</v>
      </c>
      <c r="L844" s="3">
        <v>0</v>
      </c>
      <c r="M844" s="4">
        <f>K844*L844</f>
        <v>0</v>
      </c>
      <c r="N844" s="4">
        <v>20</v>
      </c>
      <c r="O844" s="4">
        <f>K844-M844+N844</f>
        <v>416</v>
      </c>
      <c r="P844" t="s">
        <v>43</v>
      </c>
      <c r="Q844" t="b">
        <v>0</v>
      </c>
      <c r="R844" t="s">
        <v>44</v>
      </c>
      <c r="S844" t="s">
        <v>68</v>
      </c>
      <c r="T844" t="s">
        <v>69</v>
      </c>
      <c r="U844" t="s">
        <v>39</v>
      </c>
      <c r="V844" t="s">
        <v>63</v>
      </c>
      <c r="W844" t="s">
        <v>1746</v>
      </c>
      <c r="X844" t="s">
        <v>0</v>
      </c>
      <c r="Y844">
        <v>9007199254741829</v>
      </c>
      <c r="Z844">
        <v>0</v>
      </c>
      <c r="AA844" t="s">
        <v>63</v>
      </c>
      <c r="AB844" t="b">
        <v>0</v>
      </c>
      <c r="AD844" s="3">
        <v>0.125</v>
      </c>
      <c r="AE844" s="2">
        <v>45926.5</v>
      </c>
      <c r="AF844" t="s">
        <v>60</v>
      </c>
    </row>
    <row r="845">
      <c r="A845" t="s">
        <v>1747</v>
      </c>
      <c r="B845" s="2">
        <v>45925.5</v>
      </c>
      <c r="C845" t="s">
        <v>37</v>
      </c>
      <c r="D845" t="s">
        <f>'客户档案'!B3</f>
        <v>38</v>
      </c>
      <c r="E845" t="s">
        <v>51</v>
      </c>
      <c r="F845" t="s">
        <v>52</v>
      </c>
      <c r="G845" t="s">
        <f>'商品目录'!B4</f>
        <v>53</v>
      </c>
      <c r="H845" t="s">
        <v>54</v>
      </c>
      <c r="I845">
        <v>6</v>
      </c>
      <c r="J845" s="4">
        <v>129</v>
      </c>
      <c r="K845" s="4">
        <f>I845*J845</f>
        <v>774</v>
      </c>
      <c r="L845" s="3">
        <v>0.5</v>
      </c>
      <c r="M845" s="4">
        <f>K845*L845</f>
        <v>387</v>
      </c>
      <c r="N845" s="4">
        <v>0</v>
      </c>
      <c r="O845" s="4">
        <f>K845-M845+N845</f>
        <v>387</v>
      </c>
      <c r="P845" t="s">
        <v>43</v>
      </c>
      <c r="Q845" t="b">
        <v>1</v>
      </c>
      <c r="R845" t="s">
        <v>55</v>
      </c>
      <c r="S845" t="s">
        <v>45</v>
      </c>
      <c r="T845" t="s">
        <v>46</v>
      </c>
      <c r="U845" t="s">
        <v>51</v>
      </c>
      <c r="V845" t="s">
        <v>38</v>
      </c>
      <c r="W845" t="s">
        <v>1748</v>
      </c>
      <c r="X845" t="s">
        <v>59</v>
      </c>
      <c r="Y845">
        <v>9007199254741830</v>
      </c>
      <c r="Z845">
        <v>0</v>
      </c>
      <c r="AA845" t="s">
        <v>38</v>
      </c>
      <c r="AB845" t="b">
        <v>1</v>
      </c>
      <c r="AD845" s="3">
        <v>0.125</v>
      </c>
      <c r="AE845" s="2">
        <v>45927.5</v>
      </c>
      <c r="AF845" t="s">
        <v>60</v>
      </c>
    </row>
    <row r="846">
      <c r="A846" t="s">
        <v>1749</v>
      </c>
      <c r="B846" s="2">
        <v>45926.5</v>
      </c>
      <c r="C846" t="s">
        <v>49</v>
      </c>
      <c r="D846" t="s">
        <f>'客户档案'!B4</f>
        <v>50</v>
      </c>
      <c r="E846" t="s">
        <v>64</v>
      </c>
      <c r="F846" t="s">
        <v>65</v>
      </c>
      <c r="G846" t="s">
        <f>'商品目录'!B5</f>
        <v>66</v>
      </c>
      <c r="H846" t="s">
        <v>67</v>
      </c>
      <c r="I846">
        <v>8</v>
      </c>
      <c r="J846" s="4">
        <v>45</v>
      </c>
      <c r="K846" s="4">
        <f>I846*J846</f>
        <v>360</v>
      </c>
      <c r="L846" s="3">
        <v>0</v>
      </c>
      <c r="M846" s="4">
        <f>K846*L846</f>
        <v>0</v>
      </c>
      <c r="N846" s="4">
        <v>10</v>
      </c>
      <c r="O846" s="4">
        <f>K846-M846+N846</f>
        <v>370</v>
      </c>
      <c r="P846" t="s">
        <v>43</v>
      </c>
      <c r="Q846" t="b">
        <v>1</v>
      </c>
      <c r="R846" t="s">
        <v>55</v>
      </c>
      <c r="S846" t="s">
        <v>56</v>
      </c>
      <c r="T846" t="s">
        <v>57</v>
      </c>
      <c r="U846" t="s">
        <v>70</v>
      </c>
      <c r="V846" t="s">
        <v>50</v>
      </c>
      <c r="W846" t="s">
        <v>1750</v>
      </c>
      <c r="X846" t="s">
        <v>72</v>
      </c>
      <c r="Y846">
        <v>9007199254741831</v>
      </c>
      <c r="Z846">
        <v>0</v>
      </c>
      <c r="AA846" t="s">
        <v>50</v>
      </c>
      <c r="AB846" t="b">
        <v>0</v>
      </c>
      <c r="AD846" s="3">
        <v>0.125</v>
      </c>
      <c r="AE846" s="2">
        <v>45928.5</v>
      </c>
      <c r="AF846" t="s">
        <v>60</v>
      </c>
    </row>
    <row r="847">
      <c r="A847" t="s">
        <v>1751</v>
      </c>
      <c r="B847" s="2">
        <v>45927.5</v>
      </c>
      <c r="C847" t="s">
        <v>62</v>
      </c>
      <c r="D847" t="s">
        <f>'客户档案'!B5</f>
        <v>63</v>
      </c>
      <c r="E847" t="s">
        <v>74</v>
      </c>
      <c r="F847" t="s">
        <v>75</v>
      </c>
      <c r="G847" t="s">
        <f>'商品目录'!B6</f>
        <v>76</v>
      </c>
      <c r="H847" t="s">
        <v>77</v>
      </c>
      <c r="I847">
        <v>10</v>
      </c>
      <c r="J847" s="4">
        <v>8</v>
      </c>
      <c r="K847" s="4">
        <f>I847*J847</f>
        <v>80</v>
      </c>
      <c r="L847" s="3">
        <v>0.5</v>
      </c>
      <c r="M847" s="4">
        <f>K847*L847</f>
        <v>40</v>
      </c>
      <c r="N847" s="4">
        <v>20</v>
      </c>
      <c r="O847" s="4">
        <f>K847-M847+N847</f>
        <v>60</v>
      </c>
      <c r="P847" t="s">
        <v>43</v>
      </c>
      <c r="Q847" t="b">
        <v>1</v>
      </c>
      <c r="R847" t="s">
        <v>55</v>
      </c>
      <c r="S847" t="s">
        <v>68</v>
      </c>
      <c r="T847" t="s">
        <v>69</v>
      </c>
      <c r="U847" t="s">
        <v>78</v>
      </c>
      <c r="V847" t="s">
        <v>63</v>
      </c>
      <c r="W847" t="s">
        <v>1752</v>
      </c>
      <c r="X847" t="s">
        <v>80</v>
      </c>
      <c r="Y847">
        <v>9007199254741832</v>
      </c>
      <c r="Z847">
        <v>0</v>
      </c>
      <c r="AA847" t="s">
        <v>63</v>
      </c>
      <c r="AB847" t="b">
        <v>1</v>
      </c>
      <c r="AD847" s="3">
        <v>0.125</v>
      </c>
      <c r="AE847" s="2">
        <v>45929.5</v>
      </c>
      <c r="AF847" t="s">
        <v>60</v>
      </c>
    </row>
    <row r="848">
      <c r="A848" t="s">
        <v>1753</v>
      </c>
      <c r="B848" s="2">
        <v>45900.5</v>
      </c>
      <c r="C848" t="s">
        <v>37</v>
      </c>
      <c r="D848" t="s">
        <f>'客户档案'!B3</f>
        <v>38</v>
      </c>
      <c r="E848" t="s">
        <v>39</v>
      </c>
      <c r="F848" t="s">
        <v>40</v>
      </c>
      <c r="G848" t="s">
        <f>'商品目录'!B3</f>
        <v>41</v>
      </c>
      <c r="H848" t="s">
        <v>42</v>
      </c>
      <c r="I848">
        <v>2</v>
      </c>
      <c r="J848" s="4">
        <v>99</v>
      </c>
      <c r="K848" s="4">
        <f>I848*J848</f>
        <v>198</v>
      </c>
      <c r="L848" s="3">
        <v>0</v>
      </c>
      <c r="M848" s="4">
        <f>K848*L848</f>
        <v>0</v>
      </c>
      <c r="N848" s="4">
        <v>0</v>
      </c>
      <c r="O848" s="4">
        <f>K848-M848+N848</f>
        <v>198</v>
      </c>
      <c r="P848" t="s">
        <v>43</v>
      </c>
      <c r="Q848" t="b">
        <v>0</v>
      </c>
      <c r="R848" t="s">
        <v>44</v>
      </c>
      <c r="S848" t="s">
        <v>45</v>
      </c>
      <c r="T848" t="s">
        <v>46</v>
      </c>
      <c r="U848" t="s">
        <v>39</v>
      </c>
      <c r="V848" t="s">
        <v>38</v>
      </c>
      <c r="W848" t="s">
        <v>1754</v>
      </c>
      <c r="X848" t="s">
        <v>0</v>
      </c>
      <c r="Y848">
        <v>9007199254741833</v>
      </c>
      <c r="Z848">
        <v>0</v>
      </c>
      <c r="AA848" t="s">
        <v>38</v>
      </c>
      <c r="AB848" t="b">
        <v>0</v>
      </c>
      <c r="AD848" s="3">
        <v>0.125</v>
      </c>
      <c r="AE848" s="2">
        <v>45902.5</v>
      </c>
      <c r="AF848" t="s">
        <v>60</v>
      </c>
    </row>
    <row r="849">
      <c r="A849" t="s">
        <v>1755</v>
      </c>
      <c r="B849" s="2">
        <v>45901.5</v>
      </c>
      <c r="C849" t="s">
        <v>49</v>
      </c>
      <c r="D849" t="s">
        <f>'客户档案'!B4</f>
        <v>50</v>
      </c>
      <c r="E849" t="s">
        <v>51</v>
      </c>
      <c r="F849" t="s">
        <v>52</v>
      </c>
      <c r="G849" t="s">
        <f>'商品目录'!B4</f>
        <v>53</v>
      </c>
      <c r="H849" t="s">
        <v>54</v>
      </c>
      <c r="I849">
        <v>4</v>
      </c>
      <c r="J849" s="4">
        <v>129</v>
      </c>
      <c r="K849" s="4">
        <f>I849*J849</f>
        <v>516</v>
      </c>
      <c r="L849" s="3">
        <v>0.5</v>
      </c>
      <c r="M849" s="4">
        <f>K849*L849</f>
        <v>258</v>
      </c>
      <c r="N849" s="4">
        <v>10</v>
      </c>
      <c r="O849" s="4">
        <f>K849-M849+N849</f>
        <v>268</v>
      </c>
      <c r="P849" t="s">
        <v>43</v>
      </c>
      <c r="Q849" t="b">
        <v>1</v>
      </c>
      <c r="R849" t="s">
        <v>55</v>
      </c>
      <c r="S849" t="s">
        <v>56</v>
      </c>
      <c r="T849" t="s">
        <v>57</v>
      </c>
      <c r="U849" t="s">
        <v>51</v>
      </c>
      <c r="V849" t="s">
        <v>50</v>
      </c>
      <c r="W849" t="s">
        <v>1756</v>
      </c>
      <c r="X849" t="s">
        <v>59</v>
      </c>
      <c r="Y849">
        <v>9007199254741834</v>
      </c>
      <c r="Z849">
        <v>0</v>
      </c>
      <c r="AA849" t="s">
        <v>50</v>
      </c>
      <c r="AB849" t="b">
        <v>1</v>
      </c>
      <c r="AD849" s="3">
        <v>0.125</v>
      </c>
      <c r="AE849" s="2">
        <v>45903.5</v>
      </c>
      <c r="AF849" t="s">
        <v>60</v>
      </c>
    </row>
    <row r="850">
      <c r="A850" t="s">
        <v>1757</v>
      </c>
      <c r="B850" s="2">
        <v>45902.5</v>
      </c>
      <c r="C850" t="s">
        <v>62</v>
      </c>
      <c r="D850" t="s">
        <f>'客户档案'!B5</f>
        <v>63</v>
      </c>
      <c r="E850" t="s">
        <v>64</v>
      </c>
      <c r="F850" t="s">
        <v>65</v>
      </c>
      <c r="G850" t="s">
        <f>'商品目录'!B5</f>
        <v>66</v>
      </c>
      <c r="H850" t="s">
        <v>67</v>
      </c>
      <c r="I850">
        <v>6</v>
      </c>
      <c r="J850" s="4">
        <v>45</v>
      </c>
      <c r="K850" s="4">
        <f>I850*J850</f>
        <v>270</v>
      </c>
      <c r="L850" s="3">
        <v>0</v>
      </c>
      <c r="M850" s="4">
        <f>K850*L850</f>
        <v>0</v>
      </c>
      <c r="N850" s="4">
        <v>20</v>
      </c>
      <c r="O850" s="4">
        <f>K850-M850+N850</f>
        <v>290</v>
      </c>
      <c r="P850" t="s">
        <v>43</v>
      </c>
      <c r="Q850" t="b">
        <v>1</v>
      </c>
      <c r="R850" t="s">
        <v>55</v>
      </c>
      <c r="S850" t="s">
        <v>68</v>
      </c>
      <c r="T850" t="s">
        <v>69</v>
      </c>
      <c r="U850" t="s">
        <v>70</v>
      </c>
      <c r="V850" t="s">
        <v>63</v>
      </c>
      <c r="W850" t="s">
        <v>1758</v>
      </c>
      <c r="X850" t="s">
        <v>72</v>
      </c>
      <c r="Y850">
        <v>9007199254741835</v>
      </c>
      <c r="Z850">
        <v>0</v>
      </c>
      <c r="AA850" t="s">
        <v>63</v>
      </c>
      <c r="AB850" t="b">
        <v>0</v>
      </c>
      <c r="AD850" s="3">
        <v>0.125</v>
      </c>
      <c r="AE850" s="2">
        <v>45904.5</v>
      </c>
      <c r="AF850" t="s">
        <v>60</v>
      </c>
    </row>
    <row r="851">
      <c r="A851" t="s">
        <v>1759</v>
      </c>
      <c r="B851" s="2">
        <v>45903.5</v>
      </c>
      <c r="C851" t="s">
        <v>37</v>
      </c>
      <c r="D851" t="s">
        <f>'客户档案'!B3</f>
        <v>38</v>
      </c>
      <c r="E851" t="s">
        <v>74</v>
      </c>
      <c r="F851" t="s">
        <v>75</v>
      </c>
      <c r="G851" t="s">
        <f>'商品目录'!B6</f>
        <v>76</v>
      </c>
      <c r="H851" t="s">
        <v>77</v>
      </c>
      <c r="I851">
        <v>8</v>
      </c>
      <c r="J851" s="4">
        <v>8</v>
      </c>
      <c r="K851" s="4">
        <f>I851*J851</f>
        <v>64</v>
      </c>
      <c r="L851" s="3">
        <v>0.5</v>
      </c>
      <c r="M851" s="4">
        <f>K851*L851</f>
        <v>32</v>
      </c>
      <c r="N851" s="4">
        <v>0</v>
      </c>
      <c r="O851" s="4">
        <f>K851-M851+N851</f>
        <v>32</v>
      </c>
      <c r="P851" t="s">
        <v>43</v>
      </c>
      <c r="Q851" t="b">
        <v>1</v>
      </c>
      <c r="R851" t="s">
        <v>55</v>
      </c>
      <c r="S851" t="s">
        <v>45</v>
      </c>
      <c r="T851" t="s">
        <v>46</v>
      </c>
      <c r="U851" t="s">
        <v>78</v>
      </c>
      <c r="V851" t="s">
        <v>38</v>
      </c>
      <c r="W851" t="s">
        <v>1760</v>
      </c>
      <c r="X851" t="s">
        <v>80</v>
      </c>
      <c r="Y851">
        <v>9007199254741836</v>
      </c>
      <c r="Z851">
        <v>0</v>
      </c>
      <c r="AA851" t="s">
        <v>38</v>
      </c>
      <c r="AB851" t="b">
        <v>1</v>
      </c>
      <c r="AD851" s="3">
        <v>0.125</v>
      </c>
      <c r="AE851" s="2">
        <v>45905.5</v>
      </c>
      <c r="AF851" t="s">
        <v>60</v>
      </c>
    </row>
    <row r="852">
      <c r="A852" t="s">
        <v>1761</v>
      </c>
      <c r="B852" s="2">
        <v>45904.5</v>
      </c>
      <c r="C852" t="s">
        <v>49</v>
      </c>
      <c r="D852" t="s">
        <f>'客户档案'!B4</f>
        <v>50</v>
      </c>
      <c r="E852" t="s">
        <v>39</v>
      </c>
      <c r="F852" t="s">
        <v>40</v>
      </c>
      <c r="G852" t="s">
        <f>'商品目录'!B3</f>
        <v>41</v>
      </c>
      <c r="H852" t="s">
        <v>42</v>
      </c>
      <c r="I852">
        <v>10</v>
      </c>
      <c r="J852" s="4">
        <v>99</v>
      </c>
      <c r="K852" s="4">
        <f>I852*J852</f>
        <v>990</v>
      </c>
      <c r="L852" s="3">
        <v>0</v>
      </c>
      <c r="M852" s="4">
        <f>K852*L852</f>
        <v>0</v>
      </c>
      <c r="N852" s="4">
        <v>10</v>
      </c>
      <c r="O852" s="4">
        <f>K852-M852+N852</f>
        <v>1000</v>
      </c>
      <c r="P852" t="s">
        <v>43</v>
      </c>
      <c r="Q852" t="b">
        <v>0</v>
      </c>
      <c r="R852" t="s">
        <v>44</v>
      </c>
      <c r="S852" t="s">
        <v>56</v>
      </c>
      <c r="T852" t="s">
        <v>57</v>
      </c>
      <c r="U852" t="s">
        <v>39</v>
      </c>
      <c r="V852" t="s">
        <v>50</v>
      </c>
      <c r="W852" t="s">
        <v>1762</v>
      </c>
      <c r="X852" t="s">
        <v>0</v>
      </c>
      <c r="Y852">
        <v>9007199254741837</v>
      </c>
      <c r="Z852">
        <v>0</v>
      </c>
      <c r="AA852" t="s">
        <v>50</v>
      </c>
      <c r="AB852" t="b">
        <v>0</v>
      </c>
      <c r="AD852" s="3">
        <v>0.125</v>
      </c>
      <c r="AE852" s="2">
        <v>45906.5</v>
      </c>
      <c r="AF852" t="s">
        <v>60</v>
      </c>
    </row>
    <row r="853">
      <c r="A853" t="s">
        <v>1763</v>
      </c>
      <c r="B853" s="2">
        <v>45905.5</v>
      </c>
      <c r="C853" t="s">
        <v>62</v>
      </c>
      <c r="D853" t="s">
        <f>'客户档案'!B5</f>
        <v>63</v>
      </c>
      <c r="E853" t="s">
        <v>51</v>
      </c>
      <c r="F853" t="s">
        <v>52</v>
      </c>
      <c r="G853" t="s">
        <f>'商品目录'!B4</f>
        <v>53</v>
      </c>
      <c r="H853" t="s">
        <v>54</v>
      </c>
      <c r="I853">
        <v>2</v>
      </c>
      <c r="J853" s="4">
        <v>129</v>
      </c>
      <c r="K853" s="4">
        <f>I853*J853</f>
        <v>258</v>
      </c>
      <c r="L853" s="3">
        <v>0.5</v>
      </c>
      <c r="M853" s="4">
        <f>K853*L853</f>
        <v>129</v>
      </c>
      <c r="N853" s="4">
        <v>20</v>
      </c>
      <c r="O853" s="4">
        <f>K853-M853+N853</f>
        <v>149</v>
      </c>
      <c r="P853" t="s">
        <v>43</v>
      </c>
      <c r="Q853" t="b">
        <v>1</v>
      </c>
      <c r="R853" t="s">
        <v>55</v>
      </c>
      <c r="S853" t="s">
        <v>68</v>
      </c>
      <c r="T853" t="s">
        <v>69</v>
      </c>
      <c r="U853" t="s">
        <v>51</v>
      </c>
      <c r="V853" t="s">
        <v>63</v>
      </c>
      <c r="W853" t="s">
        <v>1764</v>
      </c>
      <c r="X853" t="s">
        <v>59</v>
      </c>
      <c r="Y853">
        <v>9007199254741838</v>
      </c>
      <c r="Z853">
        <v>0</v>
      </c>
      <c r="AA853" t="s">
        <v>63</v>
      </c>
      <c r="AB853" t="b">
        <v>1</v>
      </c>
      <c r="AD853" s="3">
        <v>0.125</v>
      </c>
      <c r="AE853" s="2">
        <v>45907.5</v>
      </c>
      <c r="AF853" t="s">
        <v>60</v>
      </c>
    </row>
    <row r="854">
      <c r="A854" t="s">
        <v>1765</v>
      </c>
      <c r="B854" s="2">
        <v>45906.5</v>
      </c>
      <c r="C854" t="s">
        <v>37</v>
      </c>
      <c r="D854" t="s">
        <f>'客户档案'!B3</f>
        <v>38</v>
      </c>
      <c r="E854" t="s">
        <v>64</v>
      </c>
      <c r="F854" t="s">
        <v>65</v>
      </c>
      <c r="G854" t="s">
        <f>'商品目录'!B5</f>
        <v>66</v>
      </c>
      <c r="H854" t="s">
        <v>67</v>
      </c>
      <c r="I854">
        <v>4</v>
      </c>
      <c r="J854" s="4">
        <v>45</v>
      </c>
      <c r="K854" s="4">
        <f>I854*J854</f>
        <v>180</v>
      </c>
      <c r="L854" s="3">
        <v>0</v>
      </c>
      <c r="M854" s="4">
        <f>K854*L854</f>
        <v>0</v>
      </c>
      <c r="N854" s="4">
        <v>0</v>
      </c>
      <c r="O854" s="4">
        <f>K854-M854+N854</f>
        <v>180</v>
      </c>
      <c r="P854" t="s">
        <v>43</v>
      </c>
      <c r="Q854" t="b">
        <v>1</v>
      </c>
      <c r="R854" t="s">
        <v>55</v>
      </c>
      <c r="S854" t="s">
        <v>45</v>
      </c>
      <c r="T854" t="s">
        <v>46</v>
      </c>
      <c r="U854" t="s">
        <v>70</v>
      </c>
      <c r="V854" t="s">
        <v>38</v>
      </c>
      <c r="W854" t="s">
        <v>1766</v>
      </c>
      <c r="X854" t="s">
        <v>72</v>
      </c>
      <c r="Y854">
        <v>9007199254741839</v>
      </c>
      <c r="Z854">
        <v>0</v>
      </c>
      <c r="AA854" t="s">
        <v>38</v>
      </c>
      <c r="AB854" t="b">
        <v>0</v>
      </c>
      <c r="AD854" s="3">
        <v>0.125</v>
      </c>
      <c r="AE854" s="2">
        <v>45908.5</v>
      </c>
      <c r="AF854" t="s">
        <v>60</v>
      </c>
    </row>
    <row r="855">
      <c r="A855" t="s">
        <v>1767</v>
      </c>
      <c r="B855" s="2">
        <v>45907.5</v>
      </c>
      <c r="C855" t="s">
        <v>49</v>
      </c>
      <c r="D855" t="s">
        <f>'客户档案'!B4</f>
        <v>50</v>
      </c>
      <c r="E855" t="s">
        <v>74</v>
      </c>
      <c r="F855" t="s">
        <v>75</v>
      </c>
      <c r="G855" t="s">
        <f>'商品目录'!B6</f>
        <v>76</v>
      </c>
      <c r="H855" t="s">
        <v>77</v>
      </c>
      <c r="I855">
        <v>6</v>
      </c>
      <c r="J855" s="4">
        <v>8</v>
      </c>
      <c r="K855" s="4">
        <f>I855*J855</f>
        <v>48</v>
      </c>
      <c r="L855" s="3">
        <v>0.5</v>
      </c>
      <c r="M855" s="4">
        <f>K855*L855</f>
        <v>24</v>
      </c>
      <c r="N855" s="4">
        <v>10</v>
      </c>
      <c r="O855" s="4">
        <f>K855-M855+N855</f>
        <v>34</v>
      </c>
      <c r="P855" t="s">
        <v>43</v>
      </c>
      <c r="Q855" t="b">
        <v>1</v>
      </c>
      <c r="R855" t="s">
        <v>55</v>
      </c>
      <c r="S855" t="s">
        <v>56</v>
      </c>
      <c r="T855" t="s">
        <v>57</v>
      </c>
      <c r="U855" t="s">
        <v>78</v>
      </c>
      <c r="V855" t="s">
        <v>50</v>
      </c>
      <c r="W855" t="s">
        <v>1768</v>
      </c>
      <c r="X855" t="s">
        <v>80</v>
      </c>
      <c r="Y855">
        <v>9007199254741840</v>
      </c>
      <c r="Z855">
        <v>0</v>
      </c>
      <c r="AA855" t="s">
        <v>50</v>
      </c>
      <c r="AB855" t="b">
        <v>1</v>
      </c>
      <c r="AD855" s="3">
        <v>0.125</v>
      </c>
      <c r="AE855" s="2">
        <v>45909.5</v>
      </c>
      <c r="AF855" t="s">
        <v>60</v>
      </c>
    </row>
    <row r="856">
      <c r="A856" t="s">
        <v>1769</v>
      </c>
      <c r="B856" s="2">
        <v>45908.5</v>
      </c>
      <c r="C856" t="s">
        <v>62</v>
      </c>
      <c r="D856" t="s">
        <f>'客户档案'!B5</f>
        <v>63</v>
      </c>
      <c r="E856" t="s">
        <v>39</v>
      </c>
      <c r="F856" t="s">
        <v>40</v>
      </c>
      <c r="G856" t="s">
        <f>'商品目录'!B3</f>
        <v>41</v>
      </c>
      <c r="H856" t="s">
        <v>42</v>
      </c>
      <c r="I856">
        <v>8</v>
      </c>
      <c r="J856" s="4">
        <v>99</v>
      </c>
      <c r="K856" s="4">
        <f>I856*J856</f>
        <v>792</v>
      </c>
      <c r="L856" s="3">
        <v>0</v>
      </c>
      <c r="M856" s="4">
        <f>K856*L856</f>
        <v>0</v>
      </c>
      <c r="N856" s="4">
        <v>20</v>
      </c>
      <c r="O856" s="4">
        <f>K856-M856+N856</f>
        <v>812</v>
      </c>
      <c r="P856" t="s">
        <v>43</v>
      </c>
      <c r="Q856" t="b">
        <v>0</v>
      </c>
      <c r="R856" t="s">
        <v>44</v>
      </c>
      <c r="S856" t="s">
        <v>68</v>
      </c>
      <c r="T856" t="s">
        <v>69</v>
      </c>
      <c r="U856" t="s">
        <v>39</v>
      </c>
      <c r="V856" t="s">
        <v>63</v>
      </c>
      <c r="W856" t="s">
        <v>1770</v>
      </c>
      <c r="X856" t="s">
        <v>0</v>
      </c>
      <c r="Y856">
        <v>9007199254741841</v>
      </c>
      <c r="Z856">
        <v>0</v>
      </c>
      <c r="AA856" t="s">
        <v>63</v>
      </c>
      <c r="AB856" t="b">
        <v>0</v>
      </c>
      <c r="AD856" s="3">
        <v>0.125</v>
      </c>
      <c r="AE856" s="2">
        <v>45910.5</v>
      </c>
      <c r="AF856" t="s">
        <v>60</v>
      </c>
    </row>
    <row r="857">
      <c r="A857" t="s">
        <v>1771</v>
      </c>
      <c r="B857" s="2">
        <v>45909.5</v>
      </c>
      <c r="C857" t="s">
        <v>37</v>
      </c>
      <c r="D857" t="s">
        <f>'客户档案'!B3</f>
        <v>38</v>
      </c>
      <c r="E857" t="s">
        <v>51</v>
      </c>
      <c r="F857" t="s">
        <v>52</v>
      </c>
      <c r="G857" t="s">
        <f>'商品目录'!B4</f>
        <v>53</v>
      </c>
      <c r="H857" t="s">
        <v>54</v>
      </c>
      <c r="I857">
        <v>10</v>
      </c>
      <c r="J857" s="4">
        <v>129</v>
      </c>
      <c r="K857" s="4">
        <f>I857*J857</f>
        <v>1290</v>
      </c>
      <c r="L857" s="3">
        <v>0.5</v>
      </c>
      <c r="M857" s="4">
        <f>K857*L857</f>
        <v>645</v>
      </c>
      <c r="N857" s="4">
        <v>0</v>
      </c>
      <c r="O857" s="4">
        <f>K857-M857+N857</f>
        <v>645</v>
      </c>
      <c r="P857" t="s">
        <v>43</v>
      </c>
      <c r="Q857" t="b">
        <v>1</v>
      </c>
      <c r="R857" t="s">
        <v>55</v>
      </c>
      <c r="S857" t="s">
        <v>45</v>
      </c>
      <c r="T857" t="s">
        <v>46</v>
      </c>
      <c r="U857" t="s">
        <v>51</v>
      </c>
      <c r="V857" t="s">
        <v>38</v>
      </c>
      <c r="W857" t="s">
        <v>1772</v>
      </c>
      <c r="X857" t="s">
        <v>59</v>
      </c>
      <c r="Y857">
        <v>9007199254741842</v>
      </c>
      <c r="Z857">
        <v>0</v>
      </c>
      <c r="AA857" t="s">
        <v>38</v>
      </c>
      <c r="AB857" t="b">
        <v>1</v>
      </c>
      <c r="AD857" s="3">
        <v>0.125</v>
      </c>
      <c r="AE857" s="2">
        <v>45911.5</v>
      </c>
      <c r="AF857" t="s">
        <v>60</v>
      </c>
    </row>
    <row r="858">
      <c r="A858" t="s">
        <v>1773</v>
      </c>
      <c r="B858" s="2">
        <v>45910.5</v>
      </c>
      <c r="C858" t="s">
        <v>49</v>
      </c>
      <c r="D858" t="s">
        <f>'客户档案'!B4</f>
        <v>50</v>
      </c>
      <c r="E858" t="s">
        <v>64</v>
      </c>
      <c r="F858" t="s">
        <v>65</v>
      </c>
      <c r="G858" t="s">
        <f>'商品目录'!B5</f>
        <v>66</v>
      </c>
      <c r="H858" t="s">
        <v>67</v>
      </c>
      <c r="I858">
        <v>2</v>
      </c>
      <c r="J858" s="4">
        <v>45</v>
      </c>
      <c r="K858" s="4">
        <f>I858*J858</f>
        <v>90</v>
      </c>
      <c r="L858" s="3">
        <v>0</v>
      </c>
      <c r="M858" s="4">
        <f>K858*L858</f>
        <v>0</v>
      </c>
      <c r="N858" s="4">
        <v>10</v>
      </c>
      <c r="O858" s="4">
        <f>K858-M858+N858</f>
        <v>100</v>
      </c>
      <c r="P858" t="s">
        <v>43</v>
      </c>
      <c r="Q858" t="b">
        <v>1</v>
      </c>
      <c r="R858" t="s">
        <v>55</v>
      </c>
      <c r="S858" t="s">
        <v>56</v>
      </c>
      <c r="T858" t="s">
        <v>57</v>
      </c>
      <c r="U858" t="s">
        <v>70</v>
      </c>
      <c r="V858" t="s">
        <v>50</v>
      </c>
      <c r="W858" t="s">
        <v>1774</v>
      </c>
      <c r="X858" t="s">
        <v>72</v>
      </c>
      <c r="Y858">
        <v>9007199254741843</v>
      </c>
      <c r="Z858">
        <v>2</v>
      </c>
      <c r="AA858" t="s">
        <v>50</v>
      </c>
      <c r="AB858" t="b">
        <v>0</v>
      </c>
      <c r="AD858" s="3">
        <v>0.125</v>
      </c>
      <c r="AE858" s="2">
        <v>45912.5</v>
      </c>
      <c r="AF858" t="s">
        <v>60</v>
      </c>
    </row>
    <row r="859">
      <c r="A859" t="s">
        <v>1775</v>
      </c>
      <c r="B859" s="2">
        <v>45911.5</v>
      </c>
      <c r="C859" t="s">
        <v>62</v>
      </c>
      <c r="D859" t="s">
        <f>'客户档案'!B5</f>
        <v>63</v>
      </c>
      <c r="E859" t="s">
        <v>74</v>
      </c>
      <c r="F859" t="s">
        <v>75</v>
      </c>
      <c r="G859" t="s">
        <f>'商品目录'!B6</f>
        <v>76</v>
      </c>
      <c r="H859" t="s">
        <v>77</v>
      </c>
      <c r="I859">
        <v>4</v>
      </c>
      <c r="J859" s="4">
        <v>8</v>
      </c>
      <c r="K859" s="4">
        <f>I859*J859</f>
        <v>32</v>
      </c>
      <c r="L859" s="3">
        <v>0.5</v>
      </c>
      <c r="M859" s="4">
        <f>K859*L859</f>
        <v>16</v>
      </c>
      <c r="N859" s="4">
        <v>20</v>
      </c>
      <c r="O859" s="4">
        <f>K859-M859+N859</f>
        <v>36</v>
      </c>
      <c r="P859" t="s">
        <v>43</v>
      </c>
      <c r="Q859" t="b">
        <v>1</v>
      </c>
      <c r="R859" t="s">
        <v>55</v>
      </c>
      <c r="S859" t="s">
        <v>68</v>
      </c>
      <c r="T859" t="s">
        <v>69</v>
      </c>
      <c r="U859" t="s">
        <v>78</v>
      </c>
      <c r="V859" t="s">
        <v>63</v>
      </c>
      <c r="W859" t="s">
        <v>1776</v>
      </c>
      <c r="X859" t="s">
        <v>80</v>
      </c>
      <c r="Y859">
        <v>9007199254741844</v>
      </c>
      <c r="Z859">
        <v>0</v>
      </c>
      <c r="AA859" t="s">
        <v>63</v>
      </c>
      <c r="AB859" t="b">
        <v>1</v>
      </c>
      <c r="AD859" s="3">
        <v>0.125</v>
      </c>
      <c r="AE859" s="2">
        <v>45913.5</v>
      </c>
      <c r="AF859" t="s">
        <v>60</v>
      </c>
    </row>
    <row r="860">
      <c r="A860" t="s">
        <v>1777</v>
      </c>
      <c r="B860" s="2">
        <v>45912.5</v>
      </c>
      <c r="C860" t="s">
        <v>37</v>
      </c>
      <c r="D860" t="s">
        <f>'客户档案'!B3</f>
        <v>38</v>
      </c>
      <c r="E860" t="s">
        <v>39</v>
      </c>
      <c r="F860" t="s">
        <v>40</v>
      </c>
      <c r="G860" t="s">
        <f>'商品目录'!B3</f>
        <v>41</v>
      </c>
      <c r="H860" t="s">
        <v>42</v>
      </c>
      <c r="I860">
        <v>6</v>
      </c>
      <c r="J860" s="4">
        <v>99</v>
      </c>
      <c r="K860" s="4">
        <f>I860*J860</f>
        <v>594</v>
      </c>
      <c r="L860" s="3">
        <v>0</v>
      </c>
      <c r="M860" s="4">
        <f>K860*L860</f>
        <v>0</v>
      </c>
      <c r="N860" s="4">
        <v>0</v>
      </c>
      <c r="O860" s="4">
        <f>K860-M860+N860</f>
        <v>594</v>
      </c>
      <c r="P860" t="s">
        <v>43</v>
      </c>
      <c r="Q860" t="b">
        <v>0</v>
      </c>
      <c r="R860" t="s">
        <v>44</v>
      </c>
      <c r="S860" t="s">
        <v>45</v>
      </c>
      <c r="T860" t="s">
        <v>46</v>
      </c>
      <c r="U860" t="s">
        <v>39</v>
      </c>
      <c r="V860" t="s">
        <v>38</v>
      </c>
      <c r="W860" t="s">
        <v>1778</v>
      </c>
      <c r="X860" t="s">
        <v>0</v>
      </c>
      <c r="Y860">
        <v>9007199254741845</v>
      </c>
      <c r="Z860">
        <v>0</v>
      </c>
      <c r="AA860" t="s">
        <v>38</v>
      </c>
      <c r="AB860" t="b">
        <v>0</v>
      </c>
      <c r="AD860" s="3">
        <v>0.125</v>
      </c>
      <c r="AE860" s="2">
        <v>45914.5</v>
      </c>
      <c r="AF860" t="s">
        <v>60</v>
      </c>
    </row>
    <row r="861">
      <c r="A861" t="s">
        <v>1779</v>
      </c>
      <c r="B861" s="2">
        <v>45913.5</v>
      </c>
      <c r="C861" t="s">
        <v>49</v>
      </c>
      <c r="D861" t="s">
        <f>'客户档案'!B4</f>
        <v>50</v>
      </c>
      <c r="E861" t="s">
        <v>51</v>
      </c>
      <c r="F861" t="s">
        <v>52</v>
      </c>
      <c r="G861" t="s">
        <f>'商品目录'!B4</f>
        <v>53</v>
      </c>
      <c r="H861" t="s">
        <v>54</v>
      </c>
      <c r="I861">
        <v>8</v>
      </c>
      <c r="J861" s="4">
        <v>129</v>
      </c>
      <c r="K861" s="4">
        <f>I861*J861</f>
        <v>1032</v>
      </c>
      <c r="L861" s="3">
        <v>0.5</v>
      </c>
      <c r="M861" s="4">
        <f>K861*L861</f>
        <v>516</v>
      </c>
      <c r="N861" s="4">
        <v>10</v>
      </c>
      <c r="O861" s="4">
        <f>K861-M861+N861</f>
        <v>526</v>
      </c>
      <c r="P861" t="s">
        <v>43</v>
      </c>
      <c r="Q861" t="b">
        <v>1</v>
      </c>
      <c r="R861" t="s">
        <v>55</v>
      </c>
      <c r="S861" t="s">
        <v>56</v>
      </c>
      <c r="T861" t="s">
        <v>57</v>
      </c>
      <c r="U861" t="s">
        <v>51</v>
      </c>
      <c r="V861" t="s">
        <v>50</v>
      </c>
      <c r="W861" t="s">
        <v>1780</v>
      </c>
      <c r="X861" t="s">
        <v>59</v>
      </c>
      <c r="Y861">
        <v>9007199254741846</v>
      </c>
      <c r="Z861">
        <v>0</v>
      </c>
      <c r="AA861" t="s">
        <v>50</v>
      </c>
      <c r="AB861" t="b">
        <v>1</v>
      </c>
      <c r="AD861" s="3">
        <v>0.125</v>
      </c>
      <c r="AE861" s="2">
        <v>45915.5</v>
      </c>
      <c r="AF861" t="s">
        <v>60</v>
      </c>
    </row>
    <row r="862">
      <c r="A862" t="s">
        <v>1781</v>
      </c>
      <c r="B862" s="2">
        <v>45914.5</v>
      </c>
      <c r="C862" t="s">
        <v>62</v>
      </c>
      <c r="D862" t="s">
        <f>'客户档案'!B5</f>
        <v>63</v>
      </c>
      <c r="E862" t="s">
        <v>64</v>
      </c>
      <c r="F862" t="s">
        <v>65</v>
      </c>
      <c r="G862" t="s">
        <f>'商品目录'!B5</f>
        <v>66</v>
      </c>
      <c r="H862" t="s">
        <v>67</v>
      </c>
      <c r="I862">
        <v>10</v>
      </c>
      <c r="J862" s="4">
        <v>45</v>
      </c>
      <c r="K862" s="4">
        <f>I862*J862</f>
        <v>450</v>
      </c>
      <c r="L862" s="3">
        <v>0</v>
      </c>
      <c r="M862" s="4">
        <f>K862*L862</f>
        <v>0</v>
      </c>
      <c r="N862" s="4">
        <v>20</v>
      </c>
      <c r="O862" s="4">
        <f>K862-M862+N862</f>
        <v>470</v>
      </c>
      <c r="P862" t="s">
        <v>43</v>
      </c>
      <c r="Q862" t="b">
        <v>1</v>
      </c>
      <c r="R862" t="s">
        <v>55</v>
      </c>
      <c r="S862" t="s">
        <v>68</v>
      </c>
      <c r="T862" t="s">
        <v>69</v>
      </c>
      <c r="U862" t="s">
        <v>70</v>
      </c>
      <c r="V862" t="s">
        <v>63</v>
      </c>
      <c r="W862" t="s">
        <v>1782</v>
      </c>
      <c r="X862" t="s">
        <v>72</v>
      </c>
      <c r="Y862">
        <v>9007199254741847</v>
      </c>
      <c r="Z862">
        <v>0</v>
      </c>
      <c r="AA862" t="s">
        <v>63</v>
      </c>
      <c r="AB862" t="b">
        <v>0</v>
      </c>
      <c r="AD862" s="3">
        <v>0.125</v>
      </c>
      <c r="AE862" s="2">
        <v>45916.5</v>
      </c>
      <c r="AF862" t="s">
        <v>60</v>
      </c>
    </row>
    <row r="863">
      <c r="A863" t="s">
        <v>1783</v>
      </c>
      <c r="B863" s="2">
        <v>45915.5</v>
      </c>
      <c r="C863" t="s">
        <v>37</v>
      </c>
      <c r="D863" t="s">
        <f>'客户档案'!B3</f>
        <v>38</v>
      </c>
      <c r="E863" t="s">
        <v>74</v>
      </c>
      <c r="F863" t="s">
        <v>75</v>
      </c>
      <c r="G863" t="s">
        <f>'商品目录'!B6</f>
        <v>76</v>
      </c>
      <c r="H863" t="s">
        <v>77</v>
      </c>
      <c r="I863">
        <v>2</v>
      </c>
      <c r="J863" s="4">
        <v>8</v>
      </c>
      <c r="K863" s="4">
        <f>I863*J863</f>
        <v>16</v>
      </c>
      <c r="L863" s="3">
        <v>0.5</v>
      </c>
      <c r="M863" s="4">
        <f>K863*L863</f>
        <v>8</v>
      </c>
      <c r="N863" s="4">
        <v>0</v>
      </c>
      <c r="O863" s="4">
        <f>K863-M863+N863</f>
        <v>8</v>
      </c>
      <c r="P863" t="s">
        <v>43</v>
      </c>
      <c r="Q863" t="b">
        <v>1</v>
      </c>
      <c r="R863" t="s">
        <v>55</v>
      </c>
      <c r="S863" t="s">
        <v>45</v>
      </c>
      <c r="T863" t="s">
        <v>46</v>
      </c>
      <c r="U863" t="s">
        <v>78</v>
      </c>
      <c r="V863" t="s">
        <v>38</v>
      </c>
      <c r="W863" t="s">
        <v>1784</v>
      </c>
      <c r="X863" t="s">
        <v>80</v>
      </c>
      <c r="Y863">
        <v>9007199254741848</v>
      </c>
      <c r="Z863">
        <v>0</v>
      </c>
      <c r="AA863" t="s">
        <v>38</v>
      </c>
      <c r="AB863" t="b">
        <v>1</v>
      </c>
      <c r="AD863" s="3">
        <v>0.125</v>
      </c>
      <c r="AE863" s="2">
        <v>45917.5</v>
      </c>
      <c r="AF863" t="s">
        <v>60</v>
      </c>
    </row>
    <row r="864">
      <c r="A864" t="s">
        <v>1785</v>
      </c>
      <c r="B864" s="2">
        <v>45916.5</v>
      </c>
      <c r="C864" t="s">
        <v>49</v>
      </c>
      <c r="D864" t="s">
        <f>'客户档案'!B4</f>
        <v>50</v>
      </c>
      <c r="E864" t="s">
        <v>39</v>
      </c>
      <c r="F864" t="s">
        <v>40</v>
      </c>
      <c r="G864" t="s">
        <f>'商品目录'!B3</f>
        <v>41</v>
      </c>
      <c r="H864" t="s">
        <v>42</v>
      </c>
      <c r="I864">
        <v>4</v>
      </c>
      <c r="J864" s="4">
        <v>99</v>
      </c>
      <c r="K864" s="4">
        <f>I864*J864</f>
        <v>396</v>
      </c>
      <c r="L864" s="3">
        <v>0</v>
      </c>
      <c r="M864" s="4">
        <f>K864*L864</f>
        <v>0</v>
      </c>
      <c r="N864" s="4">
        <v>10</v>
      </c>
      <c r="O864" s="4">
        <f>K864-M864+N864</f>
        <v>406</v>
      </c>
      <c r="P864" t="s">
        <v>43</v>
      </c>
      <c r="Q864" t="b">
        <v>0</v>
      </c>
      <c r="R864" t="s">
        <v>44</v>
      </c>
      <c r="S864" t="s">
        <v>56</v>
      </c>
      <c r="T864" t="s">
        <v>57</v>
      </c>
      <c r="U864" t="s">
        <v>39</v>
      </c>
      <c r="V864" t="s">
        <v>50</v>
      </c>
      <c r="W864" t="s">
        <v>1786</v>
      </c>
      <c r="X864" t="s">
        <v>0</v>
      </c>
      <c r="Y864">
        <v>9007199254741849</v>
      </c>
      <c r="Z864">
        <v>0</v>
      </c>
      <c r="AA864" t="s">
        <v>50</v>
      </c>
      <c r="AB864" t="b">
        <v>0</v>
      </c>
      <c r="AD864" s="3">
        <v>0.125</v>
      </c>
      <c r="AE864" s="2">
        <v>45918.5</v>
      </c>
      <c r="AF864" t="s">
        <v>60</v>
      </c>
    </row>
    <row r="865">
      <c r="A865" t="s">
        <v>1787</v>
      </c>
      <c r="B865" s="2">
        <v>45917.5</v>
      </c>
      <c r="C865" t="s">
        <v>62</v>
      </c>
      <c r="D865" t="s">
        <f>'客户档案'!B5</f>
        <v>63</v>
      </c>
      <c r="E865" t="s">
        <v>51</v>
      </c>
      <c r="F865" t="s">
        <v>52</v>
      </c>
      <c r="G865" t="s">
        <f>'商品目录'!B4</f>
        <v>53</v>
      </c>
      <c r="H865" t="s">
        <v>54</v>
      </c>
      <c r="I865">
        <v>6</v>
      </c>
      <c r="J865" s="4">
        <v>129</v>
      </c>
      <c r="K865" s="4">
        <f>I865*J865</f>
        <v>774</v>
      </c>
      <c r="L865" s="3">
        <v>0.5</v>
      </c>
      <c r="M865" s="4">
        <f>K865*L865</f>
        <v>387</v>
      </c>
      <c r="N865" s="4">
        <v>20</v>
      </c>
      <c r="O865" s="4">
        <f>K865-M865+N865</f>
        <v>407</v>
      </c>
      <c r="P865" t="s">
        <v>43</v>
      </c>
      <c r="Q865" t="b">
        <v>1</v>
      </c>
      <c r="R865" t="s">
        <v>55</v>
      </c>
      <c r="S865" t="s">
        <v>68</v>
      </c>
      <c r="T865" t="s">
        <v>69</v>
      </c>
      <c r="U865" t="s">
        <v>51</v>
      </c>
      <c r="V865" t="s">
        <v>63</v>
      </c>
      <c r="W865" t="s">
        <v>1788</v>
      </c>
      <c r="X865" t="s">
        <v>59</v>
      </c>
      <c r="Y865">
        <v>9007199254741850</v>
      </c>
      <c r="Z865">
        <v>0</v>
      </c>
      <c r="AA865" t="s">
        <v>63</v>
      </c>
      <c r="AB865" t="b">
        <v>1</v>
      </c>
      <c r="AD865" s="3">
        <v>0.125</v>
      </c>
      <c r="AE865" s="2">
        <v>45919.5</v>
      </c>
      <c r="AF865" t="s">
        <v>60</v>
      </c>
    </row>
    <row r="866">
      <c r="A866" t="s">
        <v>1789</v>
      </c>
      <c r="B866" s="2">
        <v>45918.5</v>
      </c>
      <c r="C866" t="s">
        <v>37</v>
      </c>
      <c r="D866" t="s">
        <f>'客户档案'!B3</f>
        <v>38</v>
      </c>
      <c r="E866" t="s">
        <v>64</v>
      </c>
      <c r="F866" t="s">
        <v>65</v>
      </c>
      <c r="G866" t="s">
        <f>'商品目录'!B5</f>
        <v>66</v>
      </c>
      <c r="H866" t="s">
        <v>67</v>
      </c>
      <c r="I866">
        <v>8</v>
      </c>
      <c r="J866" s="4">
        <v>45</v>
      </c>
      <c r="K866" s="4">
        <f>I866*J866</f>
        <v>360</v>
      </c>
      <c r="L866" s="3">
        <v>0</v>
      </c>
      <c r="M866" s="4">
        <f>K866*L866</f>
        <v>0</v>
      </c>
      <c r="N866" s="4">
        <v>0</v>
      </c>
      <c r="O866" s="4">
        <f>K866-M866+N866</f>
        <v>360</v>
      </c>
      <c r="P866" t="s">
        <v>43</v>
      </c>
      <c r="Q866" t="b">
        <v>1</v>
      </c>
      <c r="R866" t="s">
        <v>55</v>
      </c>
      <c r="S866" t="s">
        <v>45</v>
      </c>
      <c r="T866" t="s">
        <v>46</v>
      </c>
      <c r="U866" t="s">
        <v>70</v>
      </c>
      <c r="V866" t="s">
        <v>38</v>
      </c>
      <c r="W866" t="s">
        <v>1790</v>
      </c>
      <c r="X866" t="s">
        <v>72</v>
      </c>
      <c r="Y866">
        <v>9007199254741851</v>
      </c>
      <c r="Z866">
        <v>0</v>
      </c>
      <c r="AA866" t="s">
        <v>38</v>
      </c>
      <c r="AB866" t="b">
        <v>0</v>
      </c>
      <c r="AD866" s="3">
        <v>0.125</v>
      </c>
      <c r="AE866" s="2">
        <v>45920.5</v>
      </c>
      <c r="AF866" t="s">
        <v>60</v>
      </c>
    </row>
    <row r="867">
      <c r="A867" t="s">
        <v>1791</v>
      </c>
      <c r="B867" s="2">
        <v>45919.5</v>
      </c>
      <c r="C867" t="s">
        <v>49</v>
      </c>
      <c r="D867" t="s">
        <f>'客户档案'!B4</f>
        <v>50</v>
      </c>
      <c r="E867" t="s">
        <v>74</v>
      </c>
      <c r="F867" t="s">
        <v>75</v>
      </c>
      <c r="G867" t="s">
        <f>'商品目录'!B6</f>
        <v>76</v>
      </c>
      <c r="H867" t="s">
        <v>77</v>
      </c>
      <c r="I867">
        <v>10</v>
      </c>
      <c r="J867" s="4">
        <v>8</v>
      </c>
      <c r="K867" s="4">
        <f>I867*J867</f>
        <v>80</v>
      </c>
      <c r="L867" s="3">
        <v>0.5</v>
      </c>
      <c r="M867" s="4">
        <f>K867*L867</f>
        <v>40</v>
      </c>
      <c r="N867" s="4">
        <v>10</v>
      </c>
      <c r="O867" s="4">
        <f>K867-M867+N867</f>
        <v>50</v>
      </c>
      <c r="P867" t="s">
        <v>43</v>
      </c>
      <c r="Q867" t="b">
        <v>1</v>
      </c>
      <c r="R867" t="s">
        <v>55</v>
      </c>
      <c r="S867" t="s">
        <v>56</v>
      </c>
      <c r="T867" t="s">
        <v>57</v>
      </c>
      <c r="U867" t="s">
        <v>78</v>
      </c>
      <c r="V867" t="s">
        <v>50</v>
      </c>
      <c r="W867" t="s">
        <v>1792</v>
      </c>
      <c r="X867" t="s">
        <v>80</v>
      </c>
      <c r="Y867">
        <v>9007199254741852</v>
      </c>
      <c r="Z867">
        <v>0</v>
      </c>
      <c r="AA867" t="s">
        <v>50</v>
      </c>
      <c r="AB867" t="b">
        <v>1</v>
      </c>
      <c r="AD867" s="3">
        <v>0.125</v>
      </c>
      <c r="AE867" s="2">
        <v>45921.5</v>
      </c>
      <c r="AF867" t="s">
        <v>60</v>
      </c>
    </row>
    <row r="868">
      <c r="A868" t="s">
        <v>1793</v>
      </c>
      <c r="B868" s="2">
        <v>45920.5</v>
      </c>
      <c r="C868" t="s">
        <v>62</v>
      </c>
      <c r="D868" t="s">
        <f>'客户档案'!B5</f>
        <v>63</v>
      </c>
      <c r="E868" t="s">
        <v>39</v>
      </c>
      <c r="F868" t="s">
        <v>40</v>
      </c>
      <c r="G868" t="s">
        <f>'商品目录'!B3</f>
        <v>41</v>
      </c>
      <c r="H868" t="s">
        <v>42</v>
      </c>
      <c r="I868">
        <v>2</v>
      </c>
      <c r="J868" s="4">
        <v>99</v>
      </c>
      <c r="K868" s="4">
        <f>I868*J868</f>
        <v>198</v>
      </c>
      <c r="L868" s="3">
        <v>0</v>
      </c>
      <c r="M868" s="4">
        <f>K868*L868</f>
        <v>0</v>
      </c>
      <c r="N868" s="4">
        <v>20</v>
      </c>
      <c r="O868" s="4">
        <f>K868-M868+N868</f>
        <v>218</v>
      </c>
      <c r="P868" t="s">
        <v>43</v>
      </c>
      <c r="Q868" t="b">
        <v>0</v>
      </c>
      <c r="R868" t="s">
        <v>44</v>
      </c>
      <c r="S868" t="s">
        <v>68</v>
      </c>
      <c r="T868" t="s">
        <v>69</v>
      </c>
      <c r="U868" t="s">
        <v>39</v>
      </c>
      <c r="V868" t="s">
        <v>63</v>
      </c>
      <c r="W868" t="s">
        <v>1794</v>
      </c>
      <c r="X868" t="s">
        <v>0</v>
      </c>
      <c r="Y868">
        <v>9007199254741853</v>
      </c>
      <c r="Z868">
        <v>0</v>
      </c>
      <c r="AA868" t="s">
        <v>63</v>
      </c>
      <c r="AB868" t="b">
        <v>0</v>
      </c>
      <c r="AD868" s="3">
        <v>0.125</v>
      </c>
      <c r="AE868" s="2">
        <v>45922.5</v>
      </c>
      <c r="AF868" t="s">
        <v>60</v>
      </c>
    </row>
    <row r="869">
      <c r="A869" t="s">
        <v>1795</v>
      </c>
      <c r="B869" s="2">
        <v>45921.5</v>
      </c>
      <c r="C869" t="s">
        <v>37</v>
      </c>
      <c r="D869" t="s">
        <f>'客户档案'!B3</f>
        <v>38</v>
      </c>
      <c r="E869" t="s">
        <v>51</v>
      </c>
      <c r="F869" t="s">
        <v>52</v>
      </c>
      <c r="G869" t="s">
        <f>'商品目录'!B4</f>
        <v>53</v>
      </c>
      <c r="H869" t="s">
        <v>54</v>
      </c>
      <c r="I869">
        <v>4</v>
      </c>
      <c r="J869" s="4">
        <v>129</v>
      </c>
      <c r="K869" s="4">
        <f>I869*J869</f>
        <v>516</v>
      </c>
      <c r="L869" s="3">
        <v>0.5</v>
      </c>
      <c r="M869" s="4">
        <f>K869*L869</f>
        <v>258</v>
      </c>
      <c r="N869" s="4">
        <v>0</v>
      </c>
      <c r="O869" s="4">
        <f>K869-M869+N869</f>
        <v>258</v>
      </c>
      <c r="P869" t="s">
        <v>43</v>
      </c>
      <c r="Q869" t="b">
        <v>1</v>
      </c>
      <c r="R869" t="s">
        <v>55</v>
      </c>
      <c r="S869" t="s">
        <v>45</v>
      </c>
      <c r="T869" t="s">
        <v>46</v>
      </c>
      <c r="U869" t="s">
        <v>51</v>
      </c>
      <c r="V869" t="s">
        <v>38</v>
      </c>
      <c r="W869" t="s">
        <v>1796</v>
      </c>
      <c r="X869" t="s">
        <v>59</v>
      </c>
      <c r="Y869">
        <v>9007199254741854</v>
      </c>
      <c r="Z869">
        <v>0</v>
      </c>
      <c r="AA869" t="s">
        <v>38</v>
      </c>
      <c r="AB869" t="b">
        <v>1</v>
      </c>
      <c r="AD869" s="3">
        <v>0.125</v>
      </c>
      <c r="AE869" s="2">
        <v>45923.5</v>
      </c>
      <c r="AF869" t="s">
        <v>60</v>
      </c>
    </row>
    <row r="870">
      <c r="A870" t="s">
        <v>1797</v>
      </c>
      <c r="B870" s="2">
        <v>45922.5</v>
      </c>
      <c r="C870" t="s">
        <v>49</v>
      </c>
      <c r="D870" t="s">
        <f>'客户档案'!B4</f>
        <v>50</v>
      </c>
      <c r="E870" t="s">
        <v>64</v>
      </c>
      <c r="F870" t="s">
        <v>65</v>
      </c>
      <c r="G870" t="s">
        <f>'商品目录'!B5</f>
        <v>66</v>
      </c>
      <c r="H870" t="s">
        <v>67</v>
      </c>
      <c r="I870">
        <v>6</v>
      </c>
      <c r="J870" s="4">
        <v>45</v>
      </c>
      <c r="K870" s="4">
        <f>I870*J870</f>
        <v>270</v>
      </c>
      <c r="L870" s="3">
        <v>0</v>
      </c>
      <c r="M870" s="4">
        <f>K870*L870</f>
        <v>0</v>
      </c>
      <c r="N870" s="4">
        <v>10</v>
      </c>
      <c r="O870" s="4">
        <f>K870-M870+N870</f>
        <v>280</v>
      </c>
      <c r="P870" t="s">
        <v>43</v>
      </c>
      <c r="Q870" t="b">
        <v>1</v>
      </c>
      <c r="R870" t="s">
        <v>55</v>
      </c>
      <c r="S870" t="s">
        <v>56</v>
      </c>
      <c r="T870" t="s">
        <v>57</v>
      </c>
      <c r="U870" t="s">
        <v>70</v>
      </c>
      <c r="V870" t="s">
        <v>50</v>
      </c>
      <c r="W870" t="s">
        <v>1798</v>
      </c>
      <c r="X870" t="s">
        <v>72</v>
      </c>
      <c r="Y870">
        <v>9007199254741855</v>
      </c>
      <c r="Z870">
        <v>0</v>
      </c>
      <c r="AA870" t="s">
        <v>50</v>
      </c>
      <c r="AB870" t="b">
        <v>0</v>
      </c>
      <c r="AD870" s="3">
        <v>0.125</v>
      </c>
      <c r="AE870" s="2">
        <v>45924.5</v>
      </c>
      <c r="AF870" t="s">
        <v>60</v>
      </c>
    </row>
    <row r="871">
      <c r="A871" t="s">
        <v>1799</v>
      </c>
      <c r="B871" s="2">
        <v>45923.5</v>
      </c>
      <c r="C871" t="s">
        <v>62</v>
      </c>
      <c r="D871" t="s">
        <f>'客户档案'!B5</f>
        <v>63</v>
      </c>
      <c r="E871" t="s">
        <v>74</v>
      </c>
      <c r="F871" t="s">
        <v>75</v>
      </c>
      <c r="G871" t="s">
        <f>'商品目录'!B6</f>
        <v>76</v>
      </c>
      <c r="H871" t="s">
        <v>77</v>
      </c>
      <c r="I871">
        <v>8</v>
      </c>
      <c r="J871" s="4">
        <v>8</v>
      </c>
      <c r="K871" s="4">
        <f>I871*J871</f>
        <v>64</v>
      </c>
      <c r="L871" s="3">
        <v>0.5</v>
      </c>
      <c r="M871" s="4">
        <f>K871*L871</f>
        <v>32</v>
      </c>
      <c r="N871" s="4">
        <v>20</v>
      </c>
      <c r="O871" s="4">
        <f>K871-M871+N871</f>
        <v>52</v>
      </c>
      <c r="P871" t="s">
        <v>43</v>
      </c>
      <c r="Q871" t="b">
        <v>1</v>
      </c>
      <c r="R871" t="s">
        <v>55</v>
      </c>
      <c r="S871" t="s">
        <v>68</v>
      </c>
      <c r="T871" t="s">
        <v>69</v>
      </c>
      <c r="U871" t="s">
        <v>78</v>
      </c>
      <c r="V871" t="s">
        <v>63</v>
      </c>
      <c r="W871" t="s">
        <v>1800</v>
      </c>
      <c r="X871" t="s">
        <v>80</v>
      </c>
      <c r="Y871">
        <v>9007199254741856</v>
      </c>
      <c r="Z871">
        <v>0</v>
      </c>
      <c r="AA871" t="s">
        <v>63</v>
      </c>
      <c r="AB871" t="b">
        <v>1</v>
      </c>
      <c r="AD871" s="3">
        <v>0.125</v>
      </c>
      <c r="AE871" s="2">
        <v>45925.5</v>
      </c>
      <c r="AF871" t="s">
        <v>60</v>
      </c>
    </row>
    <row r="872">
      <c r="A872" t="s">
        <v>1801</v>
      </c>
      <c r="B872" s="2">
        <v>45924.5</v>
      </c>
      <c r="C872" t="s">
        <v>37</v>
      </c>
      <c r="D872" t="s">
        <f>'客户档案'!B3</f>
        <v>38</v>
      </c>
      <c r="E872" t="s">
        <v>39</v>
      </c>
      <c r="F872" t="s">
        <v>40</v>
      </c>
      <c r="G872" t="s">
        <f>'商品目录'!B3</f>
        <v>41</v>
      </c>
      <c r="H872" t="s">
        <v>42</v>
      </c>
      <c r="I872">
        <v>10</v>
      </c>
      <c r="J872" s="4">
        <v>99</v>
      </c>
      <c r="K872" s="4">
        <f>I872*J872</f>
        <v>990</v>
      </c>
      <c r="L872" s="3">
        <v>0</v>
      </c>
      <c r="M872" s="4">
        <f>K872*L872</f>
        <v>0</v>
      </c>
      <c r="N872" s="4">
        <v>0</v>
      </c>
      <c r="O872" s="4">
        <f>K872-M872+N872</f>
        <v>990</v>
      </c>
      <c r="P872" t="s">
        <v>43</v>
      </c>
      <c r="Q872" t="b">
        <v>0</v>
      </c>
      <c r="R872" t="s">
        <v>44</v>
      </c>
      <c r="S872" t="s">
        <v>45</v>
      </c>
      <c r="T872" t="s">
        <v>46</v>
      </c>
      <c r="U872" t="s">
        <v>39</v>
      </c>
      <c r="V872" t="s">
        <v>38</v>
      </c>
      <c r="W872" t="s">
        <v>1802</v>
      </c>
      <c r="X872" t="s">
        <v>0</v>
      </c>
      <c r="Y872">
        <v>9007199254741857</v>
      </c>
      <c r="Z872">
        <v>0</v>
      </c>
      <c r="AA872" t="s">
        <v>38</v>
      </c>
      <c r="AB872" t="b">
        <v>0</v>
      </c>
      <c r="AD872" s="3">
        <v>0.125</v>
      </c>
      <c r="AE872" s="2">
        <v>45926.5</v>
      </c>
      <c r="AF872" t="s">
        <v>60</v>
      </c>
    </row>
    <row r="873">
      <c r="A873" t="s">
        <v>1803</v>
      </c>
      <c r="B873" s="2">
        <v>45925.5</v>
      </c>
      <c r="C873" t="s">
        <v>49</v>
      </c>
      <c r="D873" t="s">
        <f>'客户档案'!B4</f>
        <v>50</v>
      </c>
      <c r="E873" t="s">
        <v>51</v>
      </c>
      <c r="F873" t="s">
        <v>52</v>
      </c>
      <c r="G873" t="s">
        <f>'商品目录'!B4</f>
        <v>53</v>
      </c>
      <c r="H873" t="s">
        <v>54</v>
      </c>
      <c r="I873">
        <v>2</v>
      </c>
      <c r="J873" s="4">
        <v>129</v>
      </c>
      <c r="K873" s="4">
        <f>I873*J873</f>
        <v>258</v>
      </c>
      <c r="L873" s="3">
        <v>0.5</v>
      </c>
      <c r="M873" s="4">
        <f>K873*L873</f>
        <v>129</v>
      </c>
      <c r="N873" s="4">
        <v>10</v>
      </c>
      <c r="O873" s="4">
        <f>K873-M873+N873</f>
        <v>139</v>
      </c>
      <c r="P873" t="s">
        <v>43</v>
      </c>
      <c r="Q873" t="b">
        <v>1</v>
      </c>
      <c r="R873" t="s">
        <v>55</v>
      </c>
      <c r="S873" t="s">
        <v>56</v>
      </c>
      <c r="T873" t="s">
        <v>57</v>
      </c>
      <c r="U873" t="s">
        <v>51</v>
      </c>
      <c r="V873" t="s">
        <v>50</v>
      </c>
      <c r="W873" t="s">
        <v>1804</v>
      </c>
      <c r="X873" t="s">
        <v>59</v>
      </c>
      <c r="Y873">
        <v>9007199254741858</v>
      </c>
      <c r="Z873">
        <v>0</v>
      </c>
      <c r="AA873" t="s">
        <v>50</v>
      </c>
      <c r="AB873" t="b">
        <v>1</v>
      </c>
      <c r="AD873" s="3">
        <v>0.125</v>
      </c>
      <c r="AE873" s="2">
        <v>45927.5</v>
      </c>
      <c r="AF873" t="s">
        <v>60</v>
      </c>
    </row>
    <row r="874">
      <c r="A874" t="s">
        <v>1805</v>
      </c>
      <c r="B874" s="2">
        <v>45926.5</v>
      </c>
      <c r="C874" t="s">
        <v>62</v>
      </c>
      <c r="D874" t="s">
        <f>'客户档案'!B5</f>
        <v>63</v>
      </c>
      <c r="E874" t="s">
        <v>64</v>
      </c>
      <c r="F874" t="s">
        <v>65</v>
      </c>
      <c r="G874" t="s">
        <f>'商品目录'!B5</f>
        <v>66</v>
      </c>
      <c r="H874" t="s">
        <v>67</v>
      </c>
      <c r="I874">
        <v>4</v>
      </c>
      <c r="J874" s="4">
        <v>45</v>
      </c>
      <c r="K874" s="4">
        <f>I874*J874</f>
        <v>180</v>
      </c>
      <c r="L874" s="3">
        <v>0</v>
      </c>
      <c r="M874" s="4">
        <f>K874*L874</f>
        <v>0</v>
      </c>
      <c r="N874" s="4">
        <v>20</v>
      </c>
      <c r="O874" s="4">
        <f>K874-M874+N874</f>
        <v>200</v>
      </c>
      <c r="P874" t="s">
        <v>43</v>
      </c>
      <c r="Q874" t="b">
        <v>1</v>
      </c>
      <c r="R874" t="s">
        <v>55</v>
      </c>
      <c r="S874" t="s">
        <v>68</v>
      </c>
      <c r="T874" t="s">
        <v>69</v>
      </c>
      <c r="U874" t="s">
        <v>70</v>
      </c>
      <c r="V874" t="s">
        <v>63</v>
      </c>
      <c r="W874" t="s">
        <v>1806</v>
      </c>
      <c r="X874" t="s">
        <v>72</v>
      </c>
      <c r="Y874">
        <v>9007199254741859</v>
      </c>
      <c r="Z874">
        <v>0</v>
      </c>
      <c r="AA874" t="s">
        <v>63</v>
      </c>
      <c r="AB874" t="b">
        <v>0</v>
      </c>
      <c r="AD874" s="3">
        <v>0.125</v>
      </c>
      <c r="AE874" s="2">
        <v>45928.5</v>
      </c>
      <c r="AF874" t="s">
        <v>60</v>
      </c>
    </row>
    <row r="875">
      <c r="A875" t="s">
        <v>1807</v>
      </c>
      <c r="B875" s="2">
        <v>45927.5</v>
      </c>
      <c r="C875" t="s">
        <v>37</v>
      </c>
      <c r="D875" t="s">
        <f>'客户档案'!B3</f>
        <v>38</v>
      </c>
      <c r="E875" t="s">
        <v>74</v>
      </c>
      <c r="F875" t="s">
        <v>75</v>
      </c>
      <c r="G875" t="s">
        <f>'商品目录'!B6</f>
        <v>76</v>
      </c>
      <c r="H875" t="s">
        <v>77</v>
      </c>
      <c r="I875">
        <v>6</v>
      </c>
      <c r="J875" s="4">
        <v>8</v>
      </c>
      <c r="K875" s="4">
        <f>I875*J875</f>
        <v>48</v>
      </c>
      <c r="L875" s="3">
        <v>0.5</v>
      </c>
      <c r="M875" s="4">
        <f>K875*L875</f>
        <v>24</v>
      </c>
      <c r="N875" s="4">
        <v>0</v>
      </c>
      <c r="O875" s="4">
        <f>K875-M875+N875</f>
        <v>24</v>
      </c>
      <c r="P875" t="s">
        <v>43</v>
      </c>
      <c r="Q875" t="b">
        <v>1</v>
      </c>
      <c r="R875" t="s">
        <v>55</v>
      </c>
      <c r="S875" t="s">
        <v>45</v>
      </c>
      <c r="T875" t="s">
        <v>46</v>
      </c>
      <c r="U875" t="s">
        <v>78</v>
      </c>
      <c r="V875" t="s">
        <v>38</v>
      </c>
      <c r="W875" t="s">
        <v>1808</v>
      </c>
      <c r="X875" t="s">
        <v>80</v>
      </c>
      <c r="Y875">
        <v>9007199254741860</v>
      </c>
      <c r="Z875">
        <v>2</v>
      </c>
      <c r="AA875" t="s">
        <v>38</v>
      </c>
      <c r="AB875" t="b">
        <v>1</v>
      </c>
      <c r="AD875" s="3">
        <v>0.125</v>
      </c>
      <c r="AE875" s="2">
        <v>45929.5</v>
      </c>
      <c r="AF875" t="s">
        <v>60</v>
      </c>
    </row>
    <row r="876">
      <c r="A876" t="s">
        <v>1809</v>
      </c>
      <c r="B876" s="2">
        <v>45900.5</v>
      </c>
      <c r="C876" t="s">
        <v>49</v>
      </c>
      <c r="D876" t="s">
        <f>'客户档案'!B4</f>
        <v>50</v>
      </c>
      <c r="E876" t="s">
        <v>39</v>
      </c>
      <c r="F876" t="s">
        <v>40</v>
      </c>
      <c r="G876" t="s">
        <f>'商品目录'!B3</f>
        <v>41</v>
      </c>
      <c r="H876" t="s">
        <v>42</v>
      </c>
      <c r="I876">
        <v>8</v>
      </c>
      <c r="J876" s="4">
        <v>99</v>
      </c>
      <c r="K876" s="4">
        <f>I876*J876</f>
        <v>792</v>
      </c>
      <c r="L876" s="3">
        <v>0</v>
      </c>
      <c r="M876" s="4">
        <f>K876*L876</f>
        <v>0</v>
      </c>
      <c r="N876" s="4">
        <v>10</v>
      </c>
      <c r="O876" s="4">
        <f>K876-M876+N876</f>
        <v>802</v>
      </c>
      <c r="P876" t="s">
        <v>43</v>
      </c>
      <c r="Q876" t="b">
        <v>0</v>
      </c>
      <c r="R876" t="s">
        <v>44</v>
      </c>
      <c r="S876" t="s">
        <v>56</v>
      </c>
      <c r="T876" t="s">
        <v>57</v>
      </c>
      <c r="U876" t="s">
        <v>39</v>
      </c>
      <c r="V876" t="s">
        <v>50</v>
      </c>
      <c r="W876" t="s">
        <v>1810</v>
      </c>
      <c r="X876" t="s">
        <v>0</v>
      </c>
      <c r="Y876">
        <v>9007199254741861</v>
      </c>
      <c r="Z876">
        <v>0</v>
      </c>
      <c r="AA876" t="s">
        <v>50</v>
      </c>
      <c r="AB876" t="b">
        <v>0</v>
      </c>
      <c r="AD876" s="3">
        <v>0.125</v>
      </c>
      <c r="AE876" s="2">
        <v>45902.5</v>
      </c>
      <c r="AF876" t="s">
        <v>60</v>
      </c>
    </row>
    <row r="877">
      <c r="A877" t="s">
        <v>1811</v>
      </c>
      <c r="B877" s="2">
        <v>45901.5</v>
      </c>
      <c r="C877" t="s">
        <v>62</v>
      </c>
      <c r="D877" t="s">
        <f>'客户档案'!B5</f>
        <v>63</v>
      </c>
      <c r="E877" t="s">
        <v>51</v>
      </c>
      <c r="F877" t="s">
        <v>52</v>
      </c>
      <c r="G877" t="s">
        <f>'商品目录'!B4</f>
        <v>53</v>
      </c>
      <c r="H877" t="s">
        <v>54</v>
      </c>
      <c r="I877">
        <v>10</v>
      </c>
      <c r="J877" s="4">
        <v>129</v>
      </c>
      <c r="K877" s="4">
        <f>I877*J877</f>
        <v>1290</v>
      </c>
      <c r="L877" s="3">
        <v>0.5</v>
      </c>
      <c r="M877" s="4">
        <f>K877*L877</f>
        <v>645</v>
      </c>
      <c r="N877" s="4">
        <v>20</v>
      </c>
      <c r="O877" s="4">
        <f>K877-M877+N877</f>
        <v>665</v>
      </c>
      <c r="P877" t="s">
        <v>43</v>
      </c>
      <c r="Q877" t="b">
        <v>1</v>
      </c>
      <c r="R877" t="s">
        <v>55</v>
      </c>
      <c r="S877" t="s">
        <v>68</v>
      </c>
      <c r="T877" t="s">
        <v>69</v>
      </c>
      <c r="U877" t="s">
        <v>51</v>
      </c>
      <c r="V877" t="s">
        <v>63</v>
      </c>
      <c r="W877" t="s">
        <v>1812</v>
      </c>
      <c r="X877" t="s">
        <v>59</v>
      </c>
      <c r="Y877">
        <v>9007199254741862</v>
      </c>
      <c r="Z877">
        <v>0</v>
      </c>
      <c r="AA877" t="s">
        <v>63</v>
      </c>
      <c r="AB877" t="b">
        <v>1</v>
      </c>
      <c r="AD877" s="3">
        <v>0.125</v>
      </c>
      <c r="AE877" s="2">
        <v>45903.5</v>
      </c>
      <c r="AF877" t="s">
        <v>60</v>
      </c>
    </row>
    <row r="878">
      <c r="A878" t="s">
        <v>1813</v>
      </c>
      <c r="B878" s="2">
        <v>45902.5</v>
      </c>
      <c r="C878" t="s">
        <v>37</v>
      </c>
      <c r="D878" t="s">
        <f>'客户档案'!B3</f>
        <v>38</v>
      </c>
      <c r="E878" t="s">
        <v>64</v>
      </c>
      <c r="F878" t="s">
        <v>65</v>
      </c>
      <c r="G878" t="s">
        <f>'商品目录'!B5</f>
        <v>66</v>
      </c>
      <c r="H878" t="s">
        <v>67</v>
      </c>
      <c r="I878">
        <v>2</v>
      </c>
      <c r="J878" s="4">
        <v>45</v>
      </c>
      <c r="K878" s="4">
        <f>I878*J878</f>
        <v>90</v>
      </c>
      <c r="L878" s="3">
        <v>0</v>
      </c>
      <c r="M878" s="4">
        <f>K878*L878</f>
        <v>0</v>
      </c>
      <c r="N878" s="4">
        <v>0</v>
      </c>
      <c r="O878" s="4">
        <f>K878-M878+N878</f>
        <v>90</v>
      </c>
      <c r="P878" t="s">
        <v>43</v>
      </c>
      <c r="Q878" t="b">
        <v>1</v>
      </c>
      <c r="R878" t="s">
        <v>55</v>
      </c>
      <c r="S878" t="s">
        <v>45</v>
      </c>
      <c r="T878" t="s">
        <v>46</v>
      </c>
      <c r="U878" t="s">
        <v>70</v>
      </c>
      <c r="V878" t="s">
        <v>38</v>
      </c>
      <c r="W878" t="s">
        <v>1814</v>
      </c>
      <c r="X878" t="s">
        <v>72</v>
      </c>
      <c r="Y878">
        <v>9007199254741863</v>
      </c>
      <c r="Z878">
        <v>0</v>
      </c>
      <c r="AA878" t="s">
        <v>38</v>
      </c>
      <c r="AB878" t="b">
        <v>0</v>
      </c>
      <c r="AD878" s="3">
        <v>0.125</v>
      </c>
      <c r="AE878" s="2">
        <v>45904.5</v>
      </c>
      <c r="AF878" t="s">
        <v>60</v>
      </c>
    </row>
    <row r="879">
      <c r="A879" t="s">
        <v>1815</v>
      </c>
      <c r="B879" s="2">
        <v>45903.5</v>
      </c>
      <c r="C879" t="s">
        <v>49</v>
      </c>
      <c r="D879" t="s">
        <f>'客户档案'!B4</f>
        <v>50</v>
      </c>
      <c r="E879" t="s">
        <v>74</v>
      </c>
      <c r="F879" t="s">
        <v>75</v>
      </c>
      <c r="G879" t="s">
        <f>'商品目录'!B6</f>
        <v>76</v>
      </c>
      <c r="H879" t="s">
        <v>77</v>
      </c>
      <c r="I879">
        <v>4</v>
      </c>
      <c r="J879" s="4">
        <v>8</v>
      </c>
      <c r="K879" s="4">
        <f>I879*J879</f>
        <v>32</v>
      </c>
      <c r="L879" s="3">
        <v>0.5</v>
      </c>
      <c r="M879" s="4">
        <f>K879*L879</f>
        <v>16</v>
      </c>
      <c r="N879" s="4">
        <v>10</v>
      </c>
      <c r="O879" s="4">
        <f>K879-M879+N879</f>
        <v>26</v>
      </c>
      <c r="P879" t="s">
        <v>43</v>
      </c>
      <c r="Q879" t="b">
        <v>1</v>
      </c>
      <c r="R879" t="s">
        <v>55</v>
      </c>
      <c r="S879" t="s">
        <v>56</v>
      </c>
      <c r="T879" t="s">
        <v>57</v>
      </c>
      <c r="U879" t="s">
        <v>78</v>
      </c>
      <c r="V879" t="s">
        <v>50</v>
      </c>
      <c r="W879" t="s">
        <v>1816</v>
      </c>
      <c r="X879" t="s">
        <v>80</v>
      </c>
      <c r="Y879">
        <v>9007199254741864</v>
      </c>
      <c r="Z879">
        <v>0</v>
      </c>
      <c r="AA879" t="s">
        <v>50</v>
      </c>
      <c r="AB879" t="b">
        <v>1</v>
      </c>
      <c r="AD879" s="3">
        <v>0.125</v>
      </c>
      <c r="AE879" s="2">
        <v>45905.5</v>
      </c>
      <c r="AF879" t="s">
        <v>60</v>
      </c>
    </row>
    <row r="880">
      <c r="A880" t="s">
        <v>1817</v>
      </c>
      <c r="B880" s="2">
        <v>45904.5</v>
      </c>
      <c r="C880" t="s">
        <v>62</v>
      </c>
      <c r="D880" t="s">
        <f>'客户档案'!B5</f>
        <v>63</v>
      </c>
      <c r="E880" t="s">
        <v>39</v>
      </c>
      <c r="F880" t="s">
        <v>40</v>
      </c>
      <c r="G880" t="s">
        <f>'商品目录'!B3</f>
        <v>41</v>
      </c>
      <c r="H880" t="s">
        <v>42</v>
      </c>
      <c r="I880">
        <v>6</v>
      </c>
      <c r="J880" s="4">
        <v>99</v>
      </c>
      <c r="K880" s="4">
        <f>I880*J880</f>
        <v>594</v>
      </c>
      <c r="L880" s="3">
        <v>0</v>
      </c>
      <c r="M880" s="4">
        <f>K880*L880</f>
        <v>0</v>
      </c>
      <c r="N880" s="4">
        <v>20</v>
      </c>
      <c r="O880" s="4">
        <f>K880-M880+N880</f>
        <v>614</v>
      </c>
      <c r="P880" t="s">
        <v>43</v>
      </c>
      <c r="Q880" t="b">
        <v>0</v>
      </c>
      <c r="R880" t="s">
        <v>44</v>
      </c>
      <c r="S880" t="s">
        <v>68</v>
      </c>
      <c r="T880" t="s">
        <v>69</v>
      </c>
      <c r="U880" t="s">
        <v>39</v>
      </c>
      <c r="V880" t="s">
        <v>63</v>
      </c>
      <c r="W880" t="s">
        <v>1818</v>
      </c>
      <c r="X880" t="s">
        <v>0</v>
      </c>
      <c r="Y880">
        <v>9007199254741865</v>
      </c>
      <c r="Z880">
        <v>0</v>
      </c>
      <c r="AA880" t="s">
        <v>63</v>
      </c>
      <c r="AB880" t="b">
        <v>0</v>
      </c>
      <c r="AD880" s="3">
        <v>0.125</v>
      </c>
      <c r="AE880" s="2">
        <v>45906.5</v>
      </c>
      <c r="AF880" t="s">
        <v>60</v>
      </c>
    </row>
    <row r="881">
      <c r="A881" t="s">
        <v>1819</v>
      </c>
      <c r="B881" s="2">
        <v>45905.5</v>
      </c>
      <c r="C881" t="s">
        <v>37</v>
      </c>
      <c r="D881" t="s">
        <f>'客户档案'!B3</f>
        <v>38</v>
      </c>
      <c r="E881" t="s">
        <v>51</v>
      </c>
      <c r="F881" t="s">
        <v>52</v>
      </c>
      <c r="G881" t="s">
        <f>'商品目录'!B4</f>
        <v>53</v>
      </c>
      <c r="H881" t="s">
        <v>54</v>
      </c>
      <c r="I881">
        <v>8</v>
      </c>
      <c r="J881" s="4">
        <v>129</v>
      </c>
      <c r="K881" s="4">
        <f>I881*J881</f>
        <v>1032</v>
      </c>
      <c r="L881" s="3">
        <v>0.5</v>
      </c>
      <c r="M881" s="4">
        <f>K881*L881</f>
        <v>516</v>
      </c>
      <c r="N881" s="4">
        <v>0</v>
      </c>
      <c r="O881" s="4">
        <f>K881-M881+N881</f>
        <v>516</v>
      </c>
      <c r="P881" t="s">
        <v>43</v>
      </c>
      <c r="Q881" t="b">
        <v>1</v>
      </c>
      <c r="R881" t="s">
        <v>55</v>
      </c>
      <c r="S881" t="s">
        <v>45</v>
      </c>
      <c r="T881" t="s">
        <v>46</v>
      </c>
      <c r="U881" t="s">
        <v>51</v>
      </c>
      <c r="V881" t="s">
        <v>38</v>
      </c>
      <c r="W881" t="s">
        <v>1820</v>
      </c>
      <c r="X881" t="s">
        <v>59</v>
      </c>
      <c r="Y881">
        <v>9007199254741866</v>
      </c>
      <c r="Z881">
        <v>0</v>
      </c>
      <c r="AA881" t="s">
        <v>38</v>
      </c>
      <c r="AB881" t="b">
        <v>1</v>
      </c>
      <c r="AD881" s="3">
        <v>0.125</v>
      </c>
      <c r="AE881" s="2">
        <v>45907.5</v>
      </c>
      <c r="AF881" t="s">
        <v>60</v>
      </c>
    </row>
    <row r="882">
      <c r="A882" t="s">
        <v>1821</v>
      </c>
      <c r="B882" s="2">
        <v>45906.5</v>
      </c>
      <c r="C882" t="s">
        <v>49</v>
      </c>
      <c r="D882" t="s">
        <f>'客户档案'!B4</f>
        <v>50</v>
      </c>
      <c r="E882" t="s">
        <v>64</v>
      </c>
      <c r="F882" t="s">
        <v>65</v>
      </c>
      <c r="G882" t="s">
        <f>'商品目录'!B5</f>
        <v>66</v>
      </c>
      <c r="H882" t="s">
        <v>67</v>
      </c>
      <c r="I882">
        <v>10</v>
      </c>
      <c r="J882" s="4">
        <v>45</v>
      </c>
      <c r="K882" s="4">
        <f>I882*J882</f>
        <v>450</v>
      </c>
      <c r="L882" s="3">
        <v>0</v>
      </c>
      <c r="M882" s="4">
        <f>K882*L882</f>
        <v>0</v>
      </c>
      <c r="N882" s="4">
        <v>10</v>
      </c>
      <c r="O882" s="4">
        <f>K882-M882+N882</f>
        <v>460</v>
      </c>
      <c r="P882" t="s">
        <v>43</v>
      </c>
      <c r="Q882" t="b">
        <v>1</v>
      </c>
      <c r="R882" t="s">
        <v>55</v>
      </c>
      <c r="S882" t="s">
        <v>56</v>
      </c>
      <c r="T882" t="s">
        <v>57</v>
      </c>
      <c r="U882" t="s">
        <v>70</v>
      </c>
      <c r="V882" t="s">
        <v>50</v>
      </c>
      <c r="W882" t="s">
        <v>1822</v>
      </c>
      <c r="X882" t="s">
        <v>72</v>
      </c>
      <c r="Y882">
        <v>9007199254741867</v>
      </c>
      <c r="Z882">
        <v>0</v>
      </c>
      <c r="AA882" t="s">
        <v>50</v>
      </c>
      <c r="AB882" t="b">
        <v>0</v>
      </c>
      <c r="AD882" s="3">
        <v>0.125</v>
      </c>
      <c r="AE882" s="2">
        <v>45908.5</v>
      </c>
      <c r="AF882" t="s">
        <v>60</v>
      </c>
    </row>
    <row r="883">
      <c r="A883" t="s">
        <v>1823</v>
      </c>
      <c r="B883" s="2">
        <v>45907.5</v>
      </c>
      <c r="C883" t="s">
        <v>62</v>
      </c>
      <c r="D883" t="s">
        <f>'客户档案'!B5</f>
        <v>63</v>
      </c>
      <c r="E883" t="s">
        <v>74</v>
      </c>
      <c r="F883" t="s">
        <v>75</v>
      </c>
      <c r="G883" t="s">
        <f>'商品目录'!B6</f>
        <v>76</v>
      </c>
      <c r="H883" t="s">
        <v>77</v>
      </c>
      <c r="I883">
        <v>2</v>
      </c>
      <c r="J883" s="4">
        <v>8</v>
      </c>
      <c r="K883" s="4">
        <f>I883*J883</f>
        <v>16</v>
      </c>
      <c r="L883" s="3">
        <v>0.5</v>
      </c>
      <c r="M883" s="4">
        <f>K883*L883</f>
        <v>8</v>
      </c>
      <c r="N883" s="4">
        <v>20</v>
      </c>
      <c r="O883" s="4">
        <f>K883-M883+N883</f>
        <v>28</v>
      </c>
      <c r="P883" t="s">
        <v>43</v>
      </c>
      <c r="Q883" t="b">
        <v>1</v>
      </c>
      <c r="R883" t="s">
        <v>55</v>
      </c>
      <c r="S883" t="s">
        <v>68</v>
      </c>
      <c r="T883" t="s">
        <v>69</v>
      </c>
      <c r="U883" t="s">
        <v>78</v>
      </c>
      <c r="V883" t="s">
        <v>63</v>
      </c>
      <c r="W883" t="s">
        <v>1824</v>
      </c>
      <c r="X883" t="s">
        <v>80</v>
      </c>
      <c r="Y883">
        <v>9007199254741868</v>
      </c>
      <c r="Z883">
        <v>0</v>
      </c>
      <c r="AA883" t="s">
        <v>63</v>
      </c>
      <c r="AB883" t="b">
        <v>1</v>
      </c>
      <c r="AD883" s="3">
        <v>0.125</v>
      </c>
      <c r="AE883" s="2">
        <v>45909.5</v>
      </c>
      <c r="AF883" t="s">
        <v>60</v>
      </c>
    </row>
    <row r="884">
      <c r="A884" t="s">
        <v>1825</v>
      </c>
      <c r="B884" s="2">
        <v>45908.5</v>
      </c>
      <c r="C884" t="s">
        <v>37</v>
      </c>
      <c r="D884" t="s">
        <f>'客户档案'!B3</f>
        <v>38</v>
      </c>
      <c r="E884" t="s">
        <v>39</v>
      </c>
      <c r="F884" t="s">
        <v>40</v>
      </c>
      <c r="G884" t="s">
        <f>'商品目录'!B3</f>
        <v>41</v>
      </c>
      <c r="H884" t="s">
        <v>42</v>
      </c>
      <c r="I884">
        <v>4</v>
      </c>
      <c r="J884" s="4">
        <v>99</v>
      </c>
      <c r="K884" s="4">
        <f>I884*J884</f>
        <v>396</v>
      </c>
      <c r="L884" s="3">
        <v>0</v>
      </c>
      <c r="M884" s="4">
        <f>K884*L884</f>
        <v>0</v>
      </c>
      <c r="N884" s="4">
        <v>0</v>
      </c>
      <c r="O884" s="4">
        <f>K884-M884+N884</f>
        <v>396</v>
      </c>
      <c r="P884" t="s">
        <v>43</v>
      </c>
      <c r="Q884" t="b">
        <v>0</v>
      </c>
      <c r="R884" t="s">
        <v>44</v>
      </c>
      <c r="S884" t="s">
        <v>45</v>
      </c>
      <c r="T884" t="s">
        <v>46</v>
      </c>
      <c r="U884" t="s">
        <v>39</v>
      </c>
      <c r="V884" t="s">
        <v>38</v>
      </c>
      <c r="W884" t="s">
        <v>1826</v>
      </c>
      <c r="X884" t="s">
        <v>0</v>
      </c>
      <c r="Y884">
        <v>9007199254741869</v>
      </c>
      <c r="Z884">
        <v>0</v>
      </c>
      <c r="AA884" t="s">
        <v>38</v>
      </c>
      <c r="AB884" t="b">
        <v>0</v>
      </c>
      <c r="AD884" s="3">
        <v>0.125</v>
      </c>
      <c r="AE884" s="2">
        <v>45910.5</v>
      </c>
      <c r="AF884" t="s">
        <v>60</v>
      </c>
    </row>
    <row r="885">
      <c r="A885" t="s">
        <v>1827</v>
      </c>
      <c r="B885" s="2">
        <v>45909.5</v>
      </c>
      <c r="C885" t="s">
        <v>49</v>
      </c>
      <c r="D885" t="s">
        <f>'客户档案'!B4</f>
        <v>50</v>
      </c>
      <c r="E885" t="s">
        <v>51</v>
      </c>
      <c r="F885" t="s">
        <v>52</v>
      </c>
      <c r="G885" t="s">
        <f>'商品目录'!B4</f>
        <v>53</v>
      </c>
      <c r="H885" t="s">
        <v>54</v>
      </c>
      <c r="I885">
        <v>6</v>
      </c>
      <c r="J885" s="4">
        <v>129</v>
      </c>
      <c r="K885" s="4">
        <f>I885*J885</f>
        <v>774</v>
      </c>
      <c r="L885" s="3">
        <v>0.5</v>
      </c>
      <c r="M885" s="4">
        <f>K885*L885</f>
        <v>387</v>
      </c>
      <c r="N885" s="4">
        <v>10</v>
      </c>
      <c r="O885" s="4">
        <f>K885-M885+N885</f>
        <v>397</v>
      </c>
      <c r="P885" t="s">
        <v>43</v>
      </c>
      <c r="Q885" t="b">
        <v>1</v>
      </c>
      <c r="R885" t="s">
        <v>55</v>
      </c>
      <c r="S885" t="s">
        <v>56</v>
      </c>
      <c r="T885" t="s">
        <v>57</v>
      </c>
      <c r="U885" t="s">
        <v>51</v>
      </c>
      <c r="V885" t="s">
        <v>50</v>
      </c>
      <c r="W885" t="s">
        <v>1828</v>
      </c>
      <c r="X885" t="s">
        <v>59</v>
      </c>
      <c r="Y885">
        <v>9007199254741870</v>
      </c>
      <c r="Z885">
        <v>0</v>
      </c>
      <c r="AA885" t="s">
        <v>50</v>
      </c>
      <c r="AB885" t="b">
        <v>1</v>
      </c>
      <c r="AD885" s="3">
        <v>0.125</v>
      </c>
      <c r="AE885" s="2">
        <v>45911.5</v>
      </c>
      <c r="AF885" t="s">
        <v>60</v>
      </c>
    </row>
    <row r="886">
      <c r="A886" t="s">
        <v>1829</v>
      </c>
      <c r="B886" s="2">
        <v>45910.5</v>
      </c>
      <c r="C886" t="s">
        <v>62</v>
      </c>
      <c r="D886" t="s">
        <f>'客户档案'!B5</f>
        <v>63</v>
      </c>
      <c r="E886" t="s">
        <v>64</v>
      </c>
      <c r="F886" t="s">
        <v>65</v>
      </c>
      <c r="G886" t="s">
        <f>'商品目录'!B5</f>
        <v>66</v>
      </c>
      <c r="H886" t="s">
        <v>67</v>
      </c>
      <c r="I886">
        <v>8</v>
      </c>
      <c r="J886" s="4">
        <v>45</v>
      </c>
      <c r="K886" s="4">
        <f>I886*J886</f>
        <v>360</v>
      </c>
      <c r="L886" s="3">
        <v>0</v>
      </c>
      <c r="M886" s="4">
        <f>K886*L886</f>
        <v>0</v>
      </c>
      <c r="N886" s="4">
        <v>20</v>
      </c>
      <c r="O886" s="4">
        <f>K886-M886+N886</f>
        <v>380</v>
      </c>
      <c r="P886" t="s">
        <v>43</v>
      </c>
      <c r="Q886" t="b">
        <v>1</v>
      </c>
      <c r="R886" t="s">
        <v>55</v>
      </c>
      <c r="S886" t="s">
        <v>68</v>
      </c>
      <c r="T886" t="s">
        <v>69</v>
      </c>
      <c r="U886" t="s">
        <v>70</v>
      </c>
      <c r="V886" t="s">
        <v>63</v>
      </c>
      <c r="W886" t="s">
        <v>1830</v>
      </c>
      <c r="X886" t="s">
        <v>72</v>
      </c>
      <c r="Y886">
        <v>9007199254741871</v>
      </c>
      <c r="Z886">
        <v>0</v>
      </c>
      <c r="AA886" t="s">
        <v>63</v>
      </c>
      <c r="AB886" t="b">
        <v>0</v>
      </c>
      <c r="AD886" s="3">
        <v>0.125</v>
      </c>
      <c r="AE886" s="2">
        <v>45912.5</v>
      </c>
      <c r="AF886" t="s">
        <v>60</v>
      </c>
    </row>
    <row r="887">
      <c r="A887" t="s">
        <v>1831</v>
      </c>
      <c r="B887" s="2">
        <v>45911.5</v>
      </c>
      <c r="C887" t="s">
        <v>37</v>
      </c>
      <c r="D887" t="s">
        <f>'客户档案'!B3</f>
        <v>38</v>
      </c>
      <c r="E887" t="s">
        <v>74</v>
      </c>
      <c r="F887" t="s">
        <v>75</v>
      </c>
      <c r="G887" t="s">
        <f>'商品目录'!B6</f>
        <v>76</v>
      </c>
      <c r="H887" t="s">
        <v>77</v>
      </c>
      <c r="I887">
        <v>10</v>
      </c>
      <c r="J887" s="4">
        <v>8</v>
      </c>
      <c r="K887" s="4">
        <f>I887*J887</f>
        <v>80</v>
      </c>
      <c r="L887" s="3">
        <v>0.5</v>
      </c>
      <c r="M887" s="4">
        <f>K887*L887</f>
        <v>40</v>
      </c>
      <c r="N887" s="4">
        <v>0</v>
      </c>
      <c r="O887" s="4">
        <f>K887-M887+N887</f>
        <v>40</v>
      </c>
      <c r="P887" t="s">
        <v>43</v>
      </c>
      <c r="Q887" t="b">
        <v>1</v>
      </c>
      <c r="R887" t="s">
        <v>55</v>
      </c>
      <c r="S887" t="s">
        <v>45</v>
      </c>
      <c r="T887" t="s">
        <v>46</v>
      </c>
      <c r="U887" t="s">
        <v>78</v>
      </c>
      <c r="V887" t="s">
        <v>38</v>
      </c>
      <c r="W887" t="s">
        <v>1832</v>
      </c>
      <c r="X887" t="s">
        <v>80</v>
      </c>
      <c r="Y887">
        <v>9007199254741872</v>
      </c>
      <c r="Z887">
        <v>0</v>
      </c>
      <c r="AA887" t="s">
        <v>38</v>
      </c>
      <c r="AB887" t="b">
        <v>1</v>
      </c>
      <c r="AD887" s="3">
        <v>0.125</v>
      </c>
      <c r="AE887" s="2">
        <v>45913.5</v>
      </c>
      <c r="AF887" t="s">
        <v>60</v>
      </c>
    </row>
    <row r="888">
      <c r="A888" t="s">
        <v>1833</v>
      </c>
      <c r="B888" s="2">
        <v>45912.5</v>
      </c>
      <c r="C888" t="s">
        <v>49</v>
      </c>
      <c r="D888" t="s">
        <f>'客户档案'!B4</f>
        <v>50</v>
      </c>
      <c r="E888" t="s">
        <v>39</v>
      </c>
      <c r="F888" t="s">
        <v>40</v>
      </c>
      <c r="G888" t="s">
        <f>'商品目录'!B3</f>
        <v>41</v>
      </c>
      <c r="H888" t="s">
        <v>42</v>
      </c>
      <c r="I888">
        <v>2</v>
      </c>
      <c r="J888" s="4">
        <v>99</v>
      </c>
      <c r="K888" s="4">
        <f>I888*J888</f>
        <v>198</v>
      </c>
      <c r="L888" s="3">
        <v>0</v>
      </c>
      <c r="M888" s="4">
        <f>K888*L888</f>
        <v>0</v>
      </c>
      <c r="N888" s="4">
        <v>10</v>
      </c>
      <c r="O888" s="4">
        <f>K888-M888+N888</f>
        <v>208</v>
      </c>
      <c r="P888" t="s">
        <v>43</v>
      </c>
      <c r="Q888" t="b">
        <v>0</v>
      </c>
      <c r="R888" t="s">
        <v>44</v>
      </c>
      <c r="S888" t="s">
        <v>56</v>
      </c>
      <c r="T888" t="s">
        <v>57</v>
      </c>
      <c r="U888" t="s">
        <v>39</v>
      </c>
      <c r="V888" t="s">
        <v>50</v>
      </c>
      <c r="W888" t="s">
        <v>1834</v>
      </c>
      <c r="X888" t="s">
        <v>0</v>
      </c>
      <c r="Y888">
        <v>9007199254741873</v>
      </c>
      <c r="Z888">
        <v>0</v>
      </c>
      <c r="AA888" t="s">
        <v>50</v>
      </c>
      <c r="AB888" t="b">
        <v>0</v>
      </c>
      <c r="AD888" s="3">
        <v>0.125</v>
      </c>
      <c r="AE888" s="2">
        <v>45914.5</v>
      </c>
      <c r="AF888" t="s">
        <v>60</v>
      </c>
    </row>
    <row r="889">
      <c r="A889" t="s">
        <v>1835</v>
      </c>
      <c r="B889" s="2">
        <v>45913.5</v>
      </c>
      <c r="C889" t="s">
        <v>62</v>
      </c>
      <c r="D889" t="s">
        <f>'客户档案'!B5</f>
        <v>63</v>
      </c>
      <c r="E889" t="s">
        <v>51</v>
      </c>
      <c r="F889" t="s">
        <v>52</v>
      </c>
      <c r="G889" t="s">
        <f>'商品目录'!B4</f>
        <v>53</v>
      </c>
      <c r="H889" t="s">
        <v>54</v>
      </c>
      <c r="I889">
        <v>4</v>
      </c>
      <c r="J889" s="4">
        <v>129</v>
      </c>
      <c r="K889" s="4">
        <f>I889*J889</f>
        <v>516</v>
      </c>
      <c r="L889" s="3">
        <v>0.5</v>
      </c>
      <c r="M889" s="4">
        <f>K889*L889</f>
        <v>258</v>
      </c>
      <c r="N889" s="4">
        <v>20</v>
      </c>
      <c r="O889" s="4">
        <f>K889-M889+N889</f>
        <v>278</v>
      </c>
      <c r="P889" t="s">
        <v>43</v>
      </c>
      <c r="Q889" t="b">
        <v>1</v>
      </c>
      <c r="R889" t="s">
        <v>55</v>
      </c>
      <c r="S889" t="s">
        <v>68</v>
      </c>
      <c r="T889" t="s">
        <v>69</v>
      </c>
      <c r="U889" t="s">
        <v>51</v>
      </c>
      <c r="V889" t="s">
        <v>63</v>
      </c>
      <c r="W889" t="s">
        <v>1836</v>
      </c>
      <c r="X889" t="s">
        <v>59</v>
      </c>
      <c r="Y889">
        <v>9007199254741874</v>
      </c>
      <c r="Z889">
        <v>0</v>
      </c>
      <c r="AA889" t="s">
        <v>63</v>
      </c>
      <c r="AB889" t="b">
        <v>1</v>
      </c>
      <c r="AD889" s="3">
        <v>0.125</v>
      </c>
      <c r="AE889" s="2">
        <v>45915.5</v>
      </c>
      <c r="AF889" t="s">
        <v>60</v>
      </c>
    </row>
    <row r="890">
      <c r="A890" t="s">
        <v>1837</v>
      </c>
      <c r="B890" s="2">
        <v>45914.5</v>
      </c>
      <c r="C890" t="s">
        <v>37</v>
      </c>
      <c r="D890" t="s">
        <f>'客户档案'!B3</f>
        <v>38</v>
      </c>
      <c r="E890" t="s">
        <v>64</v>
      </c>
      <c r="F890" t="s">
        <v>65</v>
      </c>
      <c r="G890" t="s">
        <f>'商品目录'!B5</f>
        <v>66</v>
      </c>
      <c r="H890" t="s">
        <v>67</v>
      </c>
      <c r="I890">
        <v>6</v>
      </c>
      <c r="J890" s="4">
        <v>45</v>
      </c>
      <c r="K890" s="4">
        <f>I890*J890</f>
        <v>270</v>
      </c>
      <c r="L890" s="3">
        <v>0</v>
      </c>
      <c r="M890" s="4">
        <f>K890*L890</f>
        <v>0</v>
      </c>
      <c r="N890" s="4">
        <v>0</v>
      </c>
      <c r="O890" s="4">
        <f>K890-M890+N890</f>
        <v>270</v>
      </c>
      <c r="P890" t="s">
        <v>43</v>
      </c>
      <c r="Q890" t="b">
        <v>1</v>
      </c>
      <c r="R890" t="s">
        <v>55</v>
      </c>
      <c r="S890" t="s">
        <v>45</v>
      </c>
      <c r="T890" t="s">
        <v>46</v>
      </c>
      <c r="U890" t="s">
        <v>70</v>
      </c>
      <c r="V890" t="s">
        <v>38</v>
      </c>
      <c r="W890" t="s">
        <v>1838</v>
      </c>
      <c r="X890" t="s">
        <v>72</v>
      </c>
      <c r="Y890">
        <v>9007199254741875</v>
      </c>
      <c r="Z890">
        <v>0</v>
      </c>
      <c r="AA890" t="s">
        <v>38</v>
      </c>
      <c r="AB890" t="b">
        <v>0</v>
      </c>
      <c r="AD890" s="3">
        <v>0.125</v>
      </c>
      <c r="AE890" s="2">
        <v>45916.5</v>
      </c>
      <c r="AF890" t="s">
        <v>60</v>
      </c>
    </row>
    <row r="891">
      <c r="A891" t="s">
        <v>1839</v>
      </c>
      <c r="B891" s="2">
        <v>45915.5</v>
      </c>
      <c r="C891" t="s">
        <v>49</v>
      </c>
      <c r="D891" t="s">
        <f>'客户档案'!B4</f>
        <v>50</v>
      </c>
      <c r="E891" t="s">
        <v>74</v>
      </c>
      <c r="F891" t="s">
        <v>75</v>
      </c>
      <c r="G891" t="s">
        <f>'商品目录'!B6</f>
        <v>76</v>
      </c>
      <c r="H891" t="s">
        <v>77</v>
      </c>
      <c r="I891">
        <v>8</v>
      </c>
      <c r="J891" s="4">
        <v>8</v>
      </c>
      <c r="K891" s="4">
        <f>I891*J891</f>
        <v>64</v>
      </c>
      <c r="L891" s="3">
        <v>0.5</v>
      </c>
      <c r="M891" s="4">
        <f>K891*L891</f>
        <v>32</v>
      </c>
      <c r="N891" s="4">
        <v>10</v>
      </c>
      <c r="O891" s="4">
        <f>K891-M891+N891</f>
        <v>42</v>
      </c>
      <c r="P891" t="s">
        <v>43</v>
      </c>
      <c r="Q891" t="b">
        <v>1</v>
      </c>
      <c r="R891" t="s">
        <v>55</v>
      </c>
      <c r="S891" t="s">
        <v>56</v>
      </c>
      <c r="T891" t="s">
        <v>57</v>
      </c>
      <c r="U891" t="s">
        <v>78</v>
      </c>
      <c r="V891" t="s">
        <v>50</v>
      </c>
      <c r="W891" t="s">
        <v>1840</v>
      </c>
      <c r="X891" t="s">
        <v>80</v>
      </c>
      <c r="Y891">
        <v>9007199254741876</v>
      </c>
      <c r="Z891">
        <v>0</v>
      </c>
      <c r="AA891" t="s">
        <v>50</v>
      </c>
      <c r="AB891" t="b">
        <v>1</v>
      </c>
      <c r="AD891" s="3">
        <v>0.125</v>
      </c>
      <c r="AE891" s="2">
        <v>45917.5</v>
      </c>
      <c r="AF891" t="s">
        <v>60</v>
      </c>
    </row>
    <row r="892">
      <c r="A892" t="s">
        <v>1841</v>
      </c>
      <c r="B892" s="2">
        <v>45916.5</v>
      </c>
      <c r="C892" t="s">
        <v>62</v>
      </c>
      <c r="D892" t="s">
        <f>'客户档案'!B5</f>
        <v>63</v>
      </c>
      <c r="E892" t="s">
        <v>39</v>
      </c>
      <c r="F892" t="s">
        <v>40</v>
      </c>
      <c r="G892" t="s">
        <f>'商品目录'!B3</f>
        <v>41</v>
      </c>
      <c r="H892" t="s">
        <v>42</v>
      </c>
      <c r="I892">
        <v>10</v>
      </c>
      <c r="J892" s="4">
        <v>99</v>
      </c>
      <c r="K892" s="4">
        <f>I892*J892</f>
        <v>990</v>
      </c>
      <c r="L892" s="3">
        <v>0</v>
      </c>
      <c r="M892" s="4">
        <f>K892*L892</f>
        <v>0</v>
      </c>
      <c r="N892" s="4">
        <v>20</v>
      </c>
      <c r="O892" s="4">
        <f>K892-M892+N892</f>
        <v>1010</v>
      </c>
      <c r="P892" t="s">
        <v>43</v>
      </c>
      <c r="Q892" t="b">
        <v>0</v>
      </c>
      <c r="R892" t="s">
        <v>44</v>
      </c>
      <c r="S892" t="s">
        <v>68</v>
      </c>
      <c r="T892" t="s">
        <v>69</v>
      </c>
      <c r="U892" t="s">
        <v>39</v>
      </c>
      <c r="V892" t="s">
        <v>63</v>
      </c>
      <c r="W892" t="s">
        <v>1842</v>
      </c>
      <c r="X892" t="s">
        <v>0</v>
      </c>
      <c r="Y892">
        <v>9007199254741877</v>
      </c>
      <c r="Z892">
        <v>2</v>
      </c>
      <c r="AA892" t="s">
        <v>63</v>
      </c>
      <c r="AB892" t="b">
        <v>0</v>
      </c>
      <c r="AD892" s="3">
        <v>0.125</v>
      </c>
      <c r="AE892" s="2">
        <v>45918.5</v>
      </c>
      <c r="AF892" t="s">
        <v>60</v>
      </c>
    </row>
    <row r="893">
      <c r="A893" t="s">
        <v>1843</v>
      </c>
      <c r="B893" s="2">
        <v>45917.5</v>
      </c>
      <c r="C893" t="s">
        <v>37</v>
      </c>
      <c r="D893" t="s">
        <f>'客户档案'!B3</f>
        <v>38</v>
      </c>
      <c r="E893" t="s">
        <v>51</v>
      </c>
      <c r="F893" t="s">
        <v>52</v>
      </c>
      <c r="G893" t="s">
        <f>'商品目录'!B4</f>
        <v>53</v>
      </c>
      <c r="H893" t="s">
        <v>54</v>
      </c>
      <c r="I893">
        <v>2</v>
      </c>
      <c r="J893" s="4">
        <v>129</v>
      </c>
      <c r="K893" s="4">
        <f>I893*J893</f>
        <v>258</v>
      </c>
      <c r="L893" s="3">
        <v>0.5</v>
      </c>
      <c r="M893" s="4">
        <f>K893*L893</f>
        <v>129</v>
      </c>
      <c r="N893" s="4">
        <v>0</v>
      </c>
      <c r="O893" s="4">
        <f>K893-M893+N893</f>
        <v>129</v>
      </c>
      <c r="P893" t="s">
        <v>43</v>
      </c>
      <c r="Q893" t="b">
        <v>1</v>
      </c>
      <c r="R893" t="s">
        <v>55</v>
      </c>
      <c r="S893" t="s">
        <v>45</v>
      </c>
      <c r="T893" t="s">
        <v>46</v>
      </c>
      <c r="U893" t="s">
        <v>51</v>
      </c>
      <c r="V893" t="s">
        <v>38</v>
      </c>
      <c r="W893" t="s">
        <v>1844</v>
      </c>
      <c r="X893" t="s">
        <v>59</v>
      </c>
      <c r="Y893">
        <v>9007199254741878</v>
      </c>
      <c r="Z893">
        <v>0</v>
      </c>
      <c r="AA893" t="s">
        <v>38</v>
      </c>
      <c r="AB893" t="b">
        <v>1</v>
      </c>
      <c r="AD893" s="3">
        <v>0.125</v>
      </c>
      <c r="AE893" s="2">
        <v>45919.5</v>
      </c>
      <c r="AF893" t="s">
        <v>60</v>
      </c>
    </row>
    <row r="894">
      <c r="A894" t="s">
        <v>1845</v>
      </c>
      <c r="B894" s="2">
        <v>45918.5</v>
      </c>
      <c r="C894" t="s">
        <v>49</v>
      </c>
      <c r="D894" t="s">
        <f>'客户档案'!B4</f>
        <v>50</v>
      </c>
      <c r="E894" t="s">
        <v>64</v>
      </c>
      <c r="F894" t="s">
        <v>65</v>
      </c>
      <c r="G894" t="s">
        <f>'商品目录'!B5</f>
        <v>66</v>
      </c>
      <c r="H894" t="s">
        <v>67</v>
      </c>
      <c r="I894">
        <v>4</v>
      </c>
      <c r="J894" s="4">
        <v>45</v>
      </c>
      <c r="K894" s="4">
        <f>I894*J894</f>
        <v>180</v>
      </c>
      <c r="L894" s="3">
        <v>0</v>
      </c>
      <c r="M894" s="4">
        <f>K894*L894</f>
        <v>0</v>
      </c>
      <c r="N894" s="4">
        <v>10</v>
      </c>
      <c r="O894" s="4">
        <f>K894-M894+N894</f>
        <v>190</v>
      </c>
      <c r="P894" t="s">
        <v>43</v>
      </c>
      <c r="Q894" t="b">
        <v>1</v>
      </c>
      <c r="R894" t="s">
        <v>55</v>
      </c>
      <c r="S894" t="s">
        <v>56</v>
      </c>
      <c r="T894" t="s">
        <v>57</v>
      </c>
      <c r="U894" t="s">
        <v>70</v>
      </c>
      <c r="V894" t="s">
        <v>50</v>
      </c>
      <c r="W894" t="s">
        <v>1846</v>
      </c>
      <c r="X894" t="s">
        <v>72</v>
      </c>
      <c r="Y894">
        <v>9007199254741879</v>
      </c>
      <c r="Z894">
        <v>0</v>
      </c>
      <c r="AA894" t="s">
        <v>50</v>
      </c>
      <c r="AB894" t="b">
        <v>0</v>
      </c>
      <c r="AD894" s="3">
        <v>0.125</v>
      </c>
      <c r="AE894" s="2">
        <v>45920.5</v>
      </c>
      <c r="AF894" t="s">
        <v>60</v>
      </c>
    </row>
    <row r="895">
      <c r="A895" t="s">
        <v>1847</v>
      </c>
      <c r="B895" s="2">
        <v>45919.5</v>
      </c>
      <c r="C895" t="s">
        <v>62</v>
      </c>
      <c r="D895" t="s">
        <f>'客户档案'!B5</f>
        <v>63</v>
      </c>
      <c r="E895" t="s">
        <v>74</v>
      </c>
      <c r="F895" t="s">
        <v>75</v>
      </c>
      <c r="G895" t="s">
        <f>'商品目录'!B6</f>
        <v>76</v>
      </c>
      <c r="H895" t="s">
        <v>77</v>
      </c>
      <c r="I895">
        <v>6</v>
      </c>
      <c r="J895" s="4">
        <v>8</v>
      </c>
      <c r="K895" s="4">
        <f>I895*J895</f>
        <v>48</v>
      </c>
      <c r="L895" s="3">
        <v>0.5</v>
      </c>
      <c r="M895" s="4">
        <f>K895*L895</f>
        <v>24</v>
      </c>
      <c r="N895" s="4">
        <v>20</v>
      </c>
      <c r="O895" s="4">
        <f>K895-M895+N895</f>
        <v>44</v>
      </c>
      <c r="P895" t="s">
        <v>43</v>
      </c>
      <c r="Q895" t="b">
        <v>1</v>
      </c>
      <c r="R895" t="s">
        <v>55</v>
      </c>
      <c r="S895" t="s">
        <v>68</v>
      </c>
      <c r="T895" t="s">
        <v>69</v>
      </c>
      <c r="U895" t="s">
        <v>78</v>
      </c>
      <c r="V895" t="s">
        <v>63</v>
      </c>
      <c r="W895" t="s">
        <v>1848</v>
      </c>
      <c r="X895" t="s">
        <v>80</v>
      </c>
      <c r="Y895">
        <v>9007199254741880</v>
      </c>
      <c r="Z895">
        <v>0</v>
      </c>
      <c r="AA895" t="s">
        <v>63</v>
      </c>
      <c r="AB895" t="b">
        <v>1</v>
      </c>
      <c r="AD895" s="3">
        <v>0.125</v>
      </c>
      <c r="AE895" s="2">
        <v>45921.5</v>
      </c>
      <c r="AF895" t="s">
        <v>60</v>
      </c>
    </row>
    <row r="896">
      <c r="A896" t="s">
        <v>1849</v>
      </c>
      <c r="B896" s="2">
        <v>45920.5</v>
      </c>
      <c r="C896" t="s">
        <v>37</v>
      </c>
      <c r="D896" t="s">
        <f>'客户档案'!B3</f>
        <v>38</v>
      </c>
      <c r="E896" t="s">
        <v>39</v>
      </c>
      <c r="F896" t="s">
        <v>40</v>
      </c>
      <c r="G896" t="s">
        <f>'商品目录'!B3</f>
        <v>41</v>
      </c>
      <c r="H896" t="s">
        <v>42</v>
      </c>
      <c r="I896">
        <v>8</v>
      </c>
      <c r="J896" s="4">
        <v>99</v>
      </c>
      <c r="K896" s="4">
        <f>I896*J896</f>
        <v>792</v>
      </c>
      <c r="L896" s="3">
        <v>0</v>
      </c>
      <c r="M896" s="4">
        <f>K896*L896</f>
        <v>0</v>
      </c>
      <c r="N896" s="4">
        <v>0</v>
      </c>
      <c r="O896" s="4">
        <f>K896-M896+N896</f>
        <v>792</v>
      </c>
      <c r="P896" t="s">
        <v>43</v>
      </c>
      <c r="Q896" t="b">
        <v>0</v>
      </c>
      <c r="R896" t="s">
        <v>44</v>
      </c>
      <c r="S896" t="s">
        <v>45</v>
      </c>
      <c r="T896" t="s">
        <v>46</v>
      </c>
      <c r="U896" t="s">
        <v>39</v>
      </c>
      <c r="V896" t="s">
        <v>38</v>
      </c>
      <c r="W896" t="s">
        <v>1850</v>
      </c>
      <c r="X896" t="s">
        <v>0</v>
      </c>
      <c r="Y896">
        <v>9007199254741881</v>
      </c>
      <c r="Z896">
        <v>0</v>
      </c>
      <c r="AA896" t="s">
        <v>38</v>
      </c>
      <c r="AB896" t="b">
        <v>0</v>
      </c>
      <c r="AD896" s="3">
        <v>0.125</v>
      </c>
      <c r="AE896" s="2">
        <v>45922.5</v>
      </c>
      <c r="AF896" t="s">
        <v>60</v>
      </c>
    </row>
    <row r="897">
      <c r="A897" t="s">
        <v>1851</v>
      </c>
      <c r="B897" s="2">
        <v>45921.5</v>
      </c>
      <c r="C897" t="s">
        <v>49</v>
      </c>
      <c r="D897" t="s">
        <f>'客户档案'!B4</f>
        <v>50</v>
      </c>
      <c r="E897" t="s">
        <v>51</v>
      </c>
      <c r="F897" t="s">
        <v>52</v>
      </c>
      <c r="G897" t="s">
        <f>'商品目录'!B4</f>
        <v>53</v>
      </c>
      <c r="H897" t="s">
        <v>54</v>
      </c>
      <c r="I897">
        <v>10</v>
      </c>
      <c r="J897" s="4">
        <v>129</v>
      </c>
      <c r="K897" s="4">
        <f>I897*J897</f>
        <v>1290</v>
      </c>
      <c r="L897" s="3">
        <v>0.5</v>
      </c>
      <c r="M897" s="4">
        <f>K897*L897</f>
        <v>645</v>
      </c>
      <c r="N897" s="4">
        <v>10</v>
      </c>
      <c r="O897" s="4">
        <f>K897-M897+N897</f>
        <v>655</v>
      </c>
      <c r="P897" t="s">
        <v>43</v>
      </c>
      <c r="Q897" t="b">
        <v>1</v>
      </c>
      <c r="R897" t="s">
        <v>55</v>
      </c>
      <c r="S897" t="s">
        <v>56</v>
      </c>
      <c r="T897" t="s">
        <v>57</v>
      </c>
      <c r="U897" t="s">
        <v>51</v>
      </c>
      <c r="V897" t="s">
        <v>50</v>
      </c>
      <c r="W897" t="s">
        <v>1852</v>
      </c>
      <c r="X897" t="s">
        <v>59</v>
      </c>
      <c r="Y897">
        <v>9007199254741882</v>
      </c>
      <c r="Z897">
        <v>0</v>
      </c>
      <c r="AA897" t="s">
        <v>50</v>
      </c>
      <c r="AB897" t="b">
        <v>1</v>
      </c>
      <c r="AD897" s="3">
        <v>0.125</v>
      </c>
      <c r="AE897" s="2">
        <v>45923.5</v>
      </c>
      <c r="AF897" t="s">
        <v>60</v>
      </c>
    </row>
    <row r="898">
      <c r="A898" t="s">
        <v>1853</v>
      </c>
      <c r="B898" s="2">
        <v>45922.5</v>
      </c>
      <c r="C898" t="s">
        <v>62</v>
      </c>
      <c r="D898" t="s">
        <f>'客户档案'!B5</f>
        <v>63</v>
      </c>
      <c r="E898" t="s">
        <v>64</v>
      </c>
      <c r="F898" t="s">
        <v>65</v>
      </c>
      <c r="G898" t="s">
        <f>'商品目录'!B5</f>
        <v>66</v>
      </c>
      <c r="H898" t="s">
        <v>67</v>
      </c>
      <c r="I898">
        <v>2</v>
      </c>
      <c r="J898" s="4">
        <v>45</v>
      </c>
      <c r="K898" s="4">
        <f>I898*J898</f>
        <v>90</v>
      </c>
      <c r="L898" s="3">
        <v>0</v>
      </c>
      <c r="M898" s="4">
        <f>K898*L898</f>
        <v>0</v>
      </c>
      <c r="N898" s="4">
        <v>20</v>
      </c>
      <c r="O898" s="4">
        <f>K898-M898+N898</f>
        <v>110</v>
      </c>
      <c r="P898" t="s">
        <v>43</v>
      </c>
      <c r="Q898" t="b">
        <v>1</v>
      </c>
      <c r="R898" t="s">
        <v>55</v>
      </c>
      <c r="S898" t="s">
        <v>68</v>
      </c>
      <c r="T898" t="s">
        <v>69</v>
      </c>
      <c r="U898" t="s">
        <v>70</v>
      </c>
      <c r="V898" t="s">
        <v>63</v>
      </c>
      <c r="W898" t="s">
        <v>1854</v>
      </c>
      <c r="X898" t="s">
        <v>72</v>
      </c>
      <c r="Y898">
        <v>9007199254741883</v>
      </c>
      <c r="Z898">
        <v>0</v>
      </c>
      <c r="AA898" t="s">
        <v>63</v>
      </c>
      <c r="AB898" t="b">
        <v>0</v>
      </c>
      <c r="AD898" s="3">
        <v>0.125</v>
      </c>
      <c r="AE898" s="2">
        <v>45924.5</v>
      </c>
      <c r="AF898" t="s">
        <v>60</v>
      </c>
    </row>
    <row r="899">
      <c r="A899" t="s">
        <v>1855</v>
      </c>
      <c r="B899" s="2">
        <v>45923.5</v>
      </c>
      <c r="C899" t="s">
        <v>37</v>
      </c>
      <c r="D899" t="s">
        <f>'客户档案'!B3</f>
        <v>38</v>
      </c>
      <c r="E899" t="s">
        <v>74</v>
      </c>
      <c r="F899" t="s">
        <v>75</v>
      </c>
      <c r="G899" t="s">
        <f>'商品目录'!B6</f>
        <v>76</v>
      </c>
      <c r="H899" t="s">
        <v>77</v>
      </c>
      <c r="I899">
        <v>4</v>
      </c>
      <c r="J899" s="4">
        <v>8</v>
      </c>
      <c r="K899" s="4">
        <f>I899*J899</f>
        <v>32</v>
      </c>
      <c r="L899" s="3">
        <v>0.5</v>
      </c>
      <c r="M899" s="4">
        <f>K899*L899</f>
        <v>16</v>
      </c>
      <c r="N899" s="4">
        <v>0</v>
      </c>
      <c r="O899" s="4">
        <f>K899-M899+N899</f>
        <v>16</v>
      </c>
      <c r="P899" t="s">
        <v>43</v>
      </c>
      <c r="Q899" t="b">
        <v>1</v>
      </c>
      <c r="R899" t="s">
        <v>55</v>
      </c>
      <c r="S899" t="s">
        <v>45</v>
      </c>
      <c r="T899" t="s">
        <v>46</v>
      </c>
      <c r="U899" t="s">
        <v>78</v>
      </c>
      <c r="V899" t="s">
        <v>38</v>
      </c>
      <c r="W899" t="s">
        <v>1856</v>
      </c>
      <c r="X899" t="s">
        <v>80</v>
      </c>
      <c r="Y899">
        <v>9007199254741884</v>
      </c>
      <c r="Z899">
        <v>0</v>
      </c>
      <c r="AA899" t="s">
        <v>38</v>
      </c>
      <c r="AB899" t="b">
        <v>1</v>
      </c>
      <c r="AD899" s="3">
        <v>0.125</v>
      </c>
      <c r="AE899" s="2">
        <v>45925.5</v>
      </c>
      <c r="AF899" t="s">
        <v>60</v>
      </c>
    </row>
    <row r="900">
      <c r="A900" t="s">
        <v>1857</v>
      </c>
      <c r="B900" s="2">
        <v>45924.5</v>
      </c>
      <c r="C900" t="s">
        <v>49</v>
      </c>
      <c r="D900" t="s">
        <f>'客户档案'!B4</f>
        <v>50</v>
      </c>
      <c r="E900" t="s">
        <v>39</v>
      </c>
      <c r="F900" t="s">
        <v>40</v>
      </c>
      <c r="G900" t="s">
        <f>'商品目录'!B3</f>
        <v>41</v>
      </c>
      <c r="H900" t="s">
        <v>42</v>
      </c>
      <c r="I900">
        <v>6</v>
      </c>
      <c r="J900" s="4">
        <v>99</v>
      </c>
      <c r="K900" s="4">
        <f>I900*J900</f>
        <v>594</v>
      </c>
      <c r="L900" s="3">
        <v>0</v>
      </c>
      <c r="M900" s="4">
        <f>K900*L900</f>
        <v>0</v>
      </c>
      <c r="N900" s="4">
        <v>10</v>
      </c>
      <c r="O900" s="4">
        <f>K900-M900+N900</f>
        <v>604</v>
      </c>
      <c r="P900" t="s">
        <v>43</v>
      </c>
      <c r="Q900" t="b">
        <v>0</v>
      </c>
      <c r="R900" t="s">
        <v>44</v>
      </c>
      <c r="S900" t="s">
        <v>56</v>
      </c>
      <c r="T900" t="s">
        <v>57</v>
      </c>
      <c r="U900" t="s">
        <v>39</v>
      </c>
      <c r="V900" t="s">
        <v>50</v>
      </c>
      <c r="W900" t="s">
        <v>1858</v>
      </c>
      <c r="X900" t="s">
        <v>0</v>
      </c>
      <c r="Y900">
        <v>9007199254741885</v>
      </c>
      <c r="Z900">
        <v>0</v>
      </c>
      <c r="AA900" t="s">
        <v>50</v>
      </c>
      <c r="AB900" t="b">
        <v>0</v>
      </c>
      <c r="AD900" s="3">
        <v>0.125</v>
      </c>
      <c r="AE900" s="2">
        <v>45926.5</v>
      </c>
      <c r="AF900" t="s">
        <v>60</v>
      </c>
    </row>
    <row r="901">
      <c r="A901" t="s">
        <v>1859</v>
      </c>
      <c r="B901" s="2">
        <v>45925.5</v>
      </c>
      <c r="C901" t="s">
        <v>62</v>
      </c>
      <c r="D901" t="s">
        <f>'客户档案'!B5</f>
        <v>63</v>
      </c>
      <c r="E901" t="s">
        <v>51</v>
      </c>
      <c r="F901" t="s">
        <v>52</v>
      </c>
      <c r="G901" t="s">
        <f>'商品目录'!B4</f>
        <v>53</v>
      </c>
      <c r="H901" t="s">
        <v>54</v>
      </c>
      <c r="I901">
        <v>8</v>
      </c>
      <c r="J901" s="4">
        <v>129</v>
      </c>
      <c r="K901" s="4">
        <f>I901*J901</f>
        <v>1032</v>
      </c>
      <c r="L901" s="3">
        <v>0.5</v>
      </c>
      <c r="M901" s="4">
        <f>K901*L901</f>
        <v>516</v>
      </c>
      <c r="N901" s="4">
        <v>20</v>
      </c>
      <c r="O901" s="4">
        <f>K901-M901+N901</f>
        <v>536</v>
      </c>
      <c r="P901" t="s">
        <v>43</v>
      </c>
      <c r="Q901" t="b">
        <v>1</v>
      </c>
      <c r="R901" t="s">
        <v>55</v>
      </c>
      <c r="S901" t="s">
        <v>68</v>
      </c>
      <c r="T901" t="s">
        <v>69</v>
      </c>
      <c r="U901" t="s">
        <v>51</v>
      </c>
      <c r="V901" t="s">
        <v>63</v>
      </c>
      <c r="W901" t="s">
        <v>1860</v>
      </c>
      <c r="X901" t="s">
        <v>59</v>
      </c>
      <c r="Y901">
        <v>9007199254741886</v>
      </c>
      <c r="Z901">
        <v>0</v>
      </c>
      <c r="AA901" t="s">
        <v>63</v>
      </c>
      <c r="AB901" t="b">
        <v>1</v>
      </c>
      <c r="AD901" s="3">
        <v>0.125</v>
      </c>
      <c r="AE901" s="2">
        <v>45927.5</v>
      </c>
      <c r="AF901" t="s">
        <v>60</v>
      </c>
    </row>
    <row r="902">
      <c r="A902" t="s">
        <v>1861</v>
      </c>
      <c r="B902" s="2">
        <v>45926.5</v>
      </c>
      <c r="C902" t="s">
        <v>37</v>
      </c>
      <c r="D902" t="s">
        <f>'客户档案'!B3</f>
        <v>38</v>
      </c>
      <c r="E902" t="s">
        <v>64</v>
      </c>
      <c r="F902" t="s">
        <v>65</v>
      </c>
      <c r="G902" t="s">
        <f>'商品目录'!B5</f>
        <v>66</v>
      </c>
      <c r="H902" t="s">
        <v>67</v>
      </c>
      <c r="I902">
        <v>10</v>
      </c>
      <c r="J902" s="4">
        <v>45</v>
      </c>
      <c r="K902" s="4">
        <f>I902*J902</f>
        <v>450</v>
      </c>
      <c r="L902" s="3">
        <v>0</v>
      </c>
      <c r="M902" s="4">
        <f>K902*L902</f>
        <v>0</v>
      </c>
      <c r="N902" s="4">
        <v>0</v>
      </c>
      <c r="O902" s="4">
        <f>K902-M902+N902</f>
        <v>450</v>
      </c>
      <c r="P902" t="s">
        <v>43</v>
      </c>
      <c r="Q902" t="b">
        <v>1</v>
      </c>
      <c r="R902" t="s">
        <v>55</v>
      </c>
      <c r="S902" t="s">
        <v>45</v>
      </c>
      <c r="T902" t="s">
        <v>46</v>
      </c>
      <c r="U902" t="s">
        <v>70</v>
      </c>
      <c r="V902" t="s">
        <v>38</v>
      </c>
      <c r="W902" t="s">
        <v>1862</v>
      </c>
      <c r="X902" t="s">
        <v>72</v>
      </c>
      <c r="Y902">
        <v>9007199254741887</v>
      </c>
      <c r="Z902">
        <v>0</v>
      </c>
      <c r="AA902" t="s">
        <v>38</v>
      </c>
      <c r="AB902" t="b">
        <v>0</v>
      </c>
      <c r="AD902" s="3">
        <v>0.125</v>
      </c>
      <c r="AE902" s="2">
        <v>45928.5</v>
      </c>
      <c r="AF902" t="s">
        <v>60</v>
      </c>
    </row>
    <row r="903">
      <c r="A903" t="s">
        <v>1863</v>
      </c>
      <c r="B903" s="2">
        <v>45927.5</v>
      </c>
      <c r="C903" t="s">
        <v>49</v>
      </c>
      <c r="D903" t="s">
        <f>'客户档案'!B4</f>
        <v>50</v>
      </c>
      <c r="E903" t="s">
        <v>74</v>
      </c>
      <c r="F903" t="s">
        <v>75</v>
      </c>
      <c r="G903" t="s">
        <f>'商品目录'!B6</f>
        <v>76</v>
      </c>
      <c r="H903" t="s">
        <v>77</v>
      </c>
      <c r="I903">
        <v>2</v>
      </c>
      <c r="J903" s="4">
        <v>8</v>
      </c>
      <c r="K903" s="4">
        <f>I903*J903</f>
        <v>16</v>
      </c>
      <c r="L903" s="3">
        <v>0.5</v>
      </c>
      <c r="M903" s="4">
        <f>K903*L903</f>
        <v>8</v>
      </c>
      <c r="N903" s="4">
        <v>10</v>
      </c>
      <c r="O903" s="4">
        <f>K903-M903+N903</f>
        <v>18</v>
      </c>
      <c r="P903" t="s">
        <v>43</v>
      </c>
      <c r="Q903" t="b">
        <v>1</v>
      </c>
      <c r="R903" t="s">
        <v>55</v>
      </c>
      <c r="S903" t="s">
        <v>56</v>
      </c>
      <c r="T903" t="s">
        <v>57</v>
      </c>
      <c r="U903" t="s">
        <v>78</v>
      </c>
      <c r="V903" t="s">
        <v>50</v>
      </c>
      <c r="W903" t="s">
        <v>1864</v>
      </c>
      <c r="X903" t="s">
        <v>80</v>
      </c>
      <c r="Y903">
        <v>9007199254741888</v>
      </c>
      <c r="Z903">
        <v>0</v>
      </c>
      <c r="AA903" t="s">
        <v>50</v>
      </c>
      <c r="AB903" t="b">
        <v>1</v>
      </c>
      <c r="AD903" s="3">
        <v>0.125</v>
      </c>
      <c r="AE903" s="2">
        <v>45929.5</v>
      </c>
      <c r="AF903" t="s">
        <v>60</v>
      </c>
    </row>
    <row r="904">
      <c r="A904" t="s">
        <v>1865</v>
      </c>
      <c r="B904" s="2">
        <v>45900.5</v>
      </c>
      <c r="C904" t="s">
        <v>62</v>
      </c>
      <c r="D904" t="s">
        <f>'客户档案'!B5</f>
        <v>63</v>
      </c>
      <c r="E904" t="s">
        <v>39</v>
      </c>
      <c r="F904" t="s">
        <v>40</v>
      </c>
      <c r="G904" t="s">
        <f>'商品目录'!B3</f>
        <v>41</v>
      </c>
      <c r="H904" t="s">
        <v>42</v>
      </c>
      <c r="I904">
        <v>4</v>
      </c>
      <c r="J904" s="4">
        <v>99</v>
      </c>
      <c r="K904" s="4">
        <f>I904*J904</f>
        <v>396</v>
      </c>
      <c r="L904" s="3">
        <v>0</v>
      </c>
      <c r="M904" s="4">
        <f>K904*L904</f>
        <v>0</v>
      </c>
      <c r="N904" s="4">
        <v>20</v>
      </c>
      <c r="O904" s="4">
        <f>K904-M904+N904</f>
        <v>416</v>
      </c>
      <c r="P904" t="s">
        <v>43</v>
      </c>
      <c r="Q904" t="b">
        <v>0</v>
      </c>
      <c r="R904" t="s">
        <v>44</v>
      </c>
      <c r="S904" t="s">
        <v>68</v>
      </c>
      <c r="T904" t="s">
        <v>69</v>
      </c>
      <c r="U904" t="s">
        <v>39</v>
      </c>
      <c r="V904" t="s">
        <v>63</v>
      </c>
      <c r="W904" t="s">
        <v>1866</v>
      </c>
      <c r="X904" t="s">
        <v>0</v>
      </c>
      <c r="Y904">
        <v>9007199254741889</v>
      </c>
      <c r="Z904">
        <v>0</v>
      </c>
      <c r="AA904" t="s">
        <v>63</v>
      </c>
      <c r="AB904" t="b">
        <v>0</v>
      </c>
      <c r="AD904" s="3">
        <v>0.125</v>
      </c>
      <c r="AE904" s="2">
        <v>45902.5</v>
      </c>
      <c r="AF904" t="s">
        <v>60</v>
      </c>
    </row>
    <row r="905">
      <c r="A905" t="s">
        <v>1867</v>
      </c>
      <c r="B905" s="2">
        <v>45901.5</v>
      </c>
      <c r="C905" t="s">
        <v>37</v>
      </c>
      <c r="D905" t="s">
        <f>'客户档案'!B3</f>
        <v>38</v>
      </c>
      <c r="E905" t="s">
        <v>51</v>
      </c>
      <c r="F905" t="s">
        <v>52</v>
      </c>
      <c r="G905" t="s">
        <f>'商品目录'!B4</f>
        <v>53</v>
      </c>
      <c r="H905" t="s">
        <v>54</v>
      </c>
      <c r="I905">
        <v>6</v>
      </c>
      <c r="J905" s="4">
        <v>129</v>
      </c>
      <c r="K905" s="4">
        <f>I905*J905</f>
        <v>774</v>
      </c>
      <c r="L905" s="3">
        <v>0.5</v>
      </c>
      <c r="M905" s="4">
        <f>K905*L905</f>
        <v>387</v>
      </c>
      <c r="N905" s="4">
        <v>0</v>
      </c>
      <c r="O905" s="4">
        <f>K905-M905+N905</f>
        <v>387</v>
      </c>
      <c r="P905" t="s">
        <v>43</v>
      </c>
      <c r="Q905" t="b">
        <v>1</v>
      </c>
      <c r="R905" t="s">
        <v>55</v>
      </c>
      <c r="S905" t="s">
        <v>45</v>
      </c>
      <c r="T905" t="s">
        <v>46</v>
      </c>
      <c r="U905" t="s">
        <v>51</v>
      </c>
      <c r="V905" t="s">
        <v>38</v>
      </c>
      <c r="W905" t="s">
        <v>1868</v>
      </c>
      <c r="X905" t="s">
        <v>59</v>
      </c>
      <c r="Y905">
        <v>9007199254741890</v>
      </c>
      <c r="Z905">
        <v>0</v>
      </c>
      <c r="AA905" t="s">
        <v>38</v>
      </c>
      <c r="AB905" t="b">
        <v>1</v>
      </c>
      <c r="AD905" s="3">
        <v>0.125</v>
      </c>
      <c r="AE905" s="2">
        <v>45903.5</v>
      </c>
      <c r="AF905" t="s">
        <v>60</v>
      </c>
    </row>
    <row r="906">
      <c r="A906" t="s">
        <v>1869</v>
      </c>
      <c r="B906" s="2">
        <v>45902.5</v>
      </c>
      <c r="C906" t="s">
        <v>49</v>
      </c>
      <c r="D906" t="s">
        <f>'客户档案'!B4</f>
        <v>50</v>
      </c>
      <c r="E906" t="s">
        <v>64</v>
      </c>
      <c r="F906" t="s">
        <v>65</v>
      </c>
      <c r="G906" t="s">
        <f>'商品目录'!B5</f>
        <v>66</v>
      </c>
      <c r="H906" t="s">
        <v>67</v>
      </c>
      <c r="I906">
        <v>8</v>
      </c>
      <c r="J906" s="4">
        <v>45</v>
      </c>
      <c r="K906" s="4">
        <f>I906*J906</f>
        <v>360</v>
      </c>
      <c r="L906" s="3">
        <v>0</v>
      </c>
      <c r="M906" s="4">
        <f>K906*L906</f>
        <v>0</v>
      </c>
      <c r="N906" s="4">
        <v>10</v>
      </c>
      <c r="O906" s="4">
        <f>K906-M906+N906</f>
        <v>370</v>
      </c>
      <c r="P906" t="s">
        <v>43</v>
      </c>
      <c r="Q906" t="b">
        <v>1</v>
      </c>
      <c r="R906" t="s">
        <v>55</v>
      </c>
      <c r="S906" t="s">
        <v>56</v>
      </c>
      <c r="T906" t="s">
        <v>57</v>
      </c>
      <c r="U906" t="s">
        <v>70</v>
      </c>
      <c r="V906" t="s">
        <v>50</v>
      </c>
      <c r="W906" t="s">
        <v>1870</v>
      </c>
      <c r="X906" t="s">
        <v>72</v>
      </c>
      <c r="Y906">
        <v>9007199254741891</v>
      </c>
      <c r="Z906">
        <v>0</v>
      </c>
      <c r="AA906" t="s">
        <v>50</v>
      </c>
      <c r="AB906" t="b">
        <v>0</v>
      </c>
      <c r="AD906" s="3">
        <v>0.125</v>
      </c>
      <c r="AE906" s="2">
        <v>45904.5</v>
      </c>
      <c r="AF906" t="s">
        <v>60</v>
      </c>
    </row>
    <row r="907">
      <c r="A907" t="s">
        <v>1871</v>
      </c>
      <c r="B907" s="2">
        <v>45903.5</v>
      </c>
      <c r="C907" t="s">
        <v>62</v>
      </c>
      <c r="D907" t="s">
        <f>'客户档案'!B5</f>
        <v>63</v>
      </c>
      <c r="E907" t="s">
        <v>74</v>
      </c>
      <c r="F907" t="s">
        <v>75</v>
      </c>
      <c r="G907" t="s">
        <f>'商品目录'!B6</f>
        <v>76</v>
      </c>
      <c r="H907" t="s">
        <v>77</v>
      </c>
      <c r="I907">
        <v>10</v>
      </c>
      <c r="J907" s="4">
        <v>8</v>
      </c>
      <c r="K907" s="4">
        <f>I907*J907</f>
        <v>80</v>
      </c>
      <c r="L907" s="3">
        <v>0.5</v>
      </c>
      <c r="M907" s="4">
        <f>K907*L907</f>
        <v>40</v>
      </c>
      <c r="N907" s="4">
        <v>20</v>
      </c>
      <c r="O907" s="4">
        <f>K907-M907+N907</f>
        <v>60</v>
      </c>
      <c r="P907" t="s">
        <v>43</v>
      </c>
      <c r="Q907" t="b">
        <v>1</v>
      </c>
      <c r="R907" t="s">
        <v>55</v>
      </c>
      <c r="S907" t="s">
        <v>68</v>
      </c>
      <c r="T907" t="s">
        <v>69</v>
      </c>
      <c r="U907" t="s">
        <v>78</v>
      </c>
      <c r="V907" t="s">
        <v>63</v>
      </c>
      <c r="W907" t="s">
        <v>1872</v>
      </c>
      <c r="X907" t="s">
        <v>80</v>
      </c>
      <c r="Y907">
        <v>9007199254741892</v>
      </c>
      <c r="Z907">
        <v>0</v>
      </c>
      <c r="AA907" t="s">
        <v>63</v>
      </c>
      <c r="AB907" t="b">
        <v>1</v>
      </c>
      <c r="AD907" s="3">
        <v>0.125</v>
      </c>
      <c r="AE907" s="2">
        <v>45905.5</v>
      </c>
      <c r="AF907" t="s">
        <v>60</v>
      </c>
    </row>
    <row r="908">
      <c r="A908" t="s">
        <v>1873</v>
      </c>
      <c r="B908" s="2">
        <v>45904.5</v>
      </c>
      <c r="C908" t="s">
        <v>37</v>
      </c>
      <c r="D908" t="s">
        <f>'客户档案'!B3</f>
        <v>38</v>
      </c>
      <c r="E908" t="s">
        <v>39</v>
      </c>
      <c r="F908" t="s">
        <v>40</v>
      </c>
      <c r="G908" t="s">
        <f>'商品目录'!B3</f>
        <v>41</v>
      </c>
      <c r="H908" t="s">
        <v>42</v>
      </c>
      <c r="I908">
        <v>2</v>
      </c>
      <c r="J908" s="4">
        <v>99</v>
      </c>
      <c r="K908" s="4">
        <f>I908*J908</f>
        <v>198</v>
      </c>
      <c r="L908" s="3">
        <v>0</v>
      </c>
      <c r="M908" s="4">
        <f>K908*L908</f>
        <v>0</v>
      </c>
      <c r="N908" s="4">
        <v>0</v>
      </c>
      <c r="O908" s="4">
        <f>K908-M908+N908</f>
        <v>198</v>
      </c>
      <c r="P908" t="s">
        <v>43</v>
      </c>
      <c r="Q908" t="b">
        <v>0</v>
      </c>
      <c r="R908" t="s">
        <v>44</v>
      </c>
      <c r="S908" t="s">
        <v>45</v>
      </c>
      <c r="T908" t="s">
        <v>46</v>
      </c>
      <c r="U908" t="s">
        <v>39</v>
      </c>
      <c r="V908" t="s">
        <v>38</v>
      </c>
      <c r="W908" t="s">
        <v>1874</v>
      </c>
      <c r="X908" t="s">
        <v>0</v>
      </c>
      <c r="Y908">
        <v>9007199254741893</v>
      </c>
      <c r="Z908">
        <v>0</v>
      </c>
      <c r="AA908" t="s">
        <v>38</v>
      </c>
      <c r="AB908" t="b">
        <v>0</v>
      </c>
      <c r="AD908" s="3">
        <v>0.125</v>
      </c>
      <c r="AE908" s="2">
        <v>45906.5</v>
      </c>
      <c r="AF908" t="s">
        <v>60</v>
      </c>
    </row>
    <row r="909">
      <c r="A909" t="s">
        <v>1875</v>
      </c>
      <c r="B909" s="2">
        <v>45905.5</v>
      </c>
      <c r="C909" t="s">
        <v>49</v>
      </c>
      <c r="D909" t="s">
        <f>'客户档案'!B4</f>
        <v>50</v>
      </c>
      <c r="E909" t="s">
        <v>51</v>
      </c>
      <c r="F909" t="s">
        <v>52</v>
      </c>
      <c r="G909" t="s">
        <f>'商品目录'!B4</f>
        <v>53</v>
      </c>
      <c r="H909" t="s">
        <v>54</v>
      </c>
      <c r="I909">
        <v>4</v>
      </c>
      <c r="J909" s="4">
        <v>129</v>
      </c>
      <c r="K909" s="4">
        <f>I909*J909</f>
        <v>516</v>
      </c>
      <c r="L909" s="3">
        <v>0.5</v>
      </c>
      <c r="M909" s="4">
        <f>K909*L909</f>
        <v>258</v>
      </c>
      <c r="N909" s="4">
        <v>10</v>
      </c>
      <c r="O909" s="4">
        <f>K909-M909+N909</f>
        <v>268</v>
      </c>
      <c r="P909" t="s">
        <v>43</v>
      </c>
      <c r="Q909" t="b">
        <v>1</v>
      </c>
      <c r="R909" t="s">
        <v>55</v>
      </c>
      <c r="S909" t="s">
        <v>56</v>
      </c>
      <c r="T909" t="s">
        <v>57</v>
      </c>
      <c r="U909" t="s">
        <v>51</v>
      </c>
      <c r="V909" t="s">
        <v>50</v>
      </c>
      <c r="W909" t="s">
        <v>1876</v>
      </c>
      <c r="X909" t="s">
        <v>59</v>
      </c>
      <c r="Y909">
        <v>9007199254741894</v>
      </c>
      <c r="Z909">
        <v>2</v>
      </c>
      <c r="AA909" t="s">
        <v>50</v>
      </c>
      <c r="AB909" t="b">
        <v>1</v>
      </c>
      <c r="AD909" s="3">
        <v>0.125</v>
      </c>
      <c r="AE909" s="2">
        <v>45907.5</v>
      </c>
      <c r="AF909" t="s">
        <v>60</v>
      </c>
    </row>
    <row r="910">
      <c r="A910" t="s">
        <v>1877</v>
      </c>
      <c r="B910" s="2">
        <v>45906.5</v>
      </c>
      <c r="C910" t="s">
        <v>62</v>
      </c>
      <c r="D910" t="s">
        <f>'客户档案'!B5</f>
        <v>63</v>
      </c>
      <c r="E910" t="s">
        <v>64</v>
      </c>
      <c r="F910" t="s">
        <v>65</v>
      </c>
      <c r="G910" t="s">
        <f>'商品目录'!B5</f>
        <v>66</v>
      </c>
      <c r="H910" t="s">
        <v>67</v>
      </c>
      <c r="I910">
        <v>6</v>
      </c>
      <c r="J910" s="4">
        <v>45</v>
      </c>
      <c r="K910" s="4">
        <f>I910*J910</f>
        <v>270</v>
      </c>
      <c r="L910" s="3">
        <v>0</v>
      </c>
      <c r="M910" s="4">
        <f>K910*L910</f>
        <v>0</v>
      </c>
      <c r="N910" s="4">
        <v>20</v>
      </c>
      <c r="O910" s="4">
        <f>K910-M910+N910</f>
        <v>290</v>
      </c>
      <c r="P910" t="s">
        <v>43</v>
      </c>
      <c r="Q910" t="b">
        <v>1</v>
      </c>
      <c r="R910" t="s">
        <v>55</v>
      </c>
      <c r="S910" t="s">
        <v>68</v>
      </c>
      <c r="T910" t="s">
        <v>69</v>
      </c>
      <c r="U910" t="s">
        <v>70</v>
      </c>
      <c r="V910" t="s">
        <v>63</v>
      </c>
      <c r="W910" t="s">
        <v>1878</v>
      </c>
      <c r="X910" t="s">
        <v>72</v>
      </c>
      <c r="Y910">
        <v>9007199254741895</v>
      </c>
      <c r="Z910">
        <v>0</v>
      </c>
      <c r="AA910" t="s">
        <v>63</v>
      </c>
      <c r="AB910" t="b">
        <v>0</v>
      </c>
      <c r="AD910" s="3">
        <v>0.125</v>
      </c>
      <c r="AE910" s="2">
        <v>45908.5</v>
      </c>
      <c r="AF910" t="s">
        <v>60</v>
      </c>
    </row>
    <row r="911">
      <c r="A911" t="s">
        <v>1879</v>
      </c>
      <c r="B911" s="2">
        <v>45907.5</v>
      </c>
      <c r="C911" t="s">
        <v>37</v>
      </c>
      <c r="D911" t="s">
        <f>'客户档案'!B3</f>
        <v>38</v>
      </c>
      <c r="E911" t="s">
        <v>74</v>
      </c>
      <c r="F911" t="s">
        <v>75</v>
      </c>
      <c r="G911" t="s">
        <f>'商品目录'!B6</f>
        <v>76</v>
      </c>
      <c r="H911" t="s">
        <v>77</v>
      </c>
      <c r="I911">
        <v>8</v>
      </c>
      <c r="J911" s="4">
        <v>8</v>
      </c>
      <c r="K911" s="4">
        <f>I911*J911</f>
        <v>64</v>
      </c>
      <c r="L911" s="3">
        <v>0.5</v>
      </c>
      <c r="M911" s="4">
        <f>K911*L911</f>
        <v>32</v>
      </c>
      <c r="N911" s="4">
        <v>0</v>
      </c>
      <c r="O911" s="4">
        <f>K911-M911+N911</f>
        <v>32</v>
      </c>
      <c r="P911" t="s">
        <v>43</v>
      </c>
      <c r="Q911" t="b">
        <v>1</v>
      </c>
      <c r="R911" t="s">
        <v>55</v>
      </c>
      <c r="S911" t="s">
        <v>45</v>
      </c>
      <c r="T911" t="s">
        <v>46</v>
      </c>
      <c r="U911" t="s">
        <v>78</v>
      </c>
      <c r="V911" t="s">
        <v>38</v>
      </c>
      <c r="W911" t="s">
        <v>1880</v>
      </c>
      <c r="X911" t="s">
        <v>80</v>
      </c>
      <c r="Y911">
        <v>9007199254741896</v>
      </c>
      <c r="Z911">
        <v>0</v>
      </c>
      <c r="AA911" t="s">
        <v>38</v>
      </c>
      <c r="AB911" t="b">
        <v>1</v>
      </c>
      <c r="AD911" s="3">
        <v>0.125</v>
      </c>
      <c r="AE911" s="2">
        <v>45909.5</v>
      </c>
      <c r="AF911" t="s">
        <v>60</v>
      </c>
    </row>
    <row r="912">
      <c r="A912" t="s">
        <v>1881</v>
      </c>
      <c r="B912" s="2">
        <v>45908.5</v>
      </c>
      <c r="C912" t="s">
        <v>49</v>
      </c>
      <c r="D912" t="s">
        <f>'客户档案'!B4</f>
        <v>50</v>
      </c>
      <c r="E912" t="s">
        <v>39</v>
      </c>
      <c r="F912" t="s">
        <v>40</v>
      </c>
      <c r="G912" t="s">
        <f>'商品目录'!B3</f>
        <v>41</v>
      </c>
      <c r="H912" t="s">
        <v>42</v>
      </c>
      <c r="I912">
        <v>10</v>
      </c>
      <c r="J912" s="4">
        <v>99</v>
      </c>
      <c r="K912" s="4">
        <f>I912*J912</f>
        <v>990</v>
      </c>
      <c r="L912" s="3">
        <v>0</v>
      </c>
      <c r="M912" s="4">
        <f>K912*L912</f>
        <v>0</v>
      </c>
      <c r="N912" s="4">
        <v>10</v>
      </c>
      <c r="O912" s="4">
        <f>K912-M912+N912</f>
        <v>1000</v>
      </c>
      <c r="P912" t="s">
        <v>43</v>
      </c>
      <c r="Q912" t="b">
        <v>0</v>
      </c>
      <c r="R912" t="s">
        <v>44</v>
      </c>
      <c r="S912" t="s">
        <v>56</v>
      </c>
      <c r="T912" t="s">
        <v>57</v>
      </c>
      <c r="U912" t="s">
        <v>39</v>
      </c>
      <c r="V912" t="s">
        <v>50</v>
      </c>
      <c r="W912" t="s">
        <v>1882</v>
      </c>
      <c r="X912" t="s">
        <v>0</v>
      </c>
      <c r="Y912">
        <v>9007199254741897</v>
      </c>
      <c r="Z912">
        <v>0</v>
      </c>
      <c r="AA912" t="s">
        <v>50</v>
      </c>
      <c r="AB912" t="b">
        <v>0</v>
      </c>
      <c r="AD912" s="3">
        <v>0.125</v>
      </c>
      <c r="AE912" s="2">
        <v>45910.5</v>
      </c>
      <c r="AF912" t="s">
        <v>60</v>
      </c>
    </row>
    <row r="913">
      <c r="A913" t="s">
        <v>1883</v>
      </c>
      <c r="B913" s="2">
        <v>45909.5</v>
      </c>
      <c r="C913" t="s">
        <v>62</v>
      </c>
      <c r="D913" t="s">
        <f>'客户档案'!B5</f>
        <v>63</v>
      </c>
      <c r="E913" t="s">
        <v>51</v>
      </c>
      <c r="F913" t="s">
        <v>52</v>
      </c>
      <c r="G913" t="s">
        <f>'商品目录'!B4</f>
        <v>53</v>
      </c>
      <c r="H913" t="s">
        <v>54</v>
      </c>
      <c r="I913">
        <v>2</v>
      </c>
      <c r="J913" s="4">
        <v>129</v>
      </c>
      <c r="K913" s="4">
        <f>I913*J913</f>
        <v>258</v>
      </c>
      <c r="L913" s="3">
        <v>0.5</v>
      </c>
      <c r="M913" s="4">
        <f>K913*L913</f>
        <v>129</v>
      </c>
      <c r="N913" s="4">
        <v>20</v>
      </c>
      <c r="O913" s="4">
        <f>K913-M913+N913</f>
        <v>149</v>
      </c>
      <c r="P913" t="s">
        <v>43</v>
      </c>
      <c r="Q913" t="b">
        <v>1</v>
      </c>
      <c r="R913" t="s">
        <v>55</v>
      </c>
      <c r="S913" t="s">
        <v>68</v>
      </c>
      <c r="T913" t="s">
        <v>69</v>
      </c>
      <c r="U913" t="s">
        <v>51</v>
      </c>
      <c r="V913" t="s">
        <v>63</v>
      </c>
      <c r="W913" t="s">
        <v>1884</v>
      </c>
      <c r="X913" t="s">
        <v>59</v>
      </c>
      <c r="Y913">
        <v>9007199254741898</v>
      </c>
      <c r="Z913">
        <v>0</v>
      </c>
      <c r="AA913" t="s">
        <v>63</v>
      </c>
      <c r="AB913" t="b">
        <v>1</v>
      </c>
      <c r="AD913" s="3">
        <v>0.125</v>
      </c>
      <c r="AE913" s="2">
        <v>45911.5</v>
      </c>
      <c r="AF913" t="s">
        <v>60</v>
      </c>
    </row>
    <row r="914">
      <c r="A914" t="s">
        <v>1885</v>
      </c>
      <c r="B914" s="2">
        <v>45910.5</v>
      </c>
      <c r="C914" t="s">
        <v>37</v>
      </c>
      <c r="D914" t="s">
        <f>'客户档案'!B3</f>
        <v>38</v>
      </c>
      <c r="E914" t="s">
        <v>64</v>
      </c>
      <c r="F914" t="s">
        <v>65</v>
      </c>
      <c r="G914" t="s">
        <f>'商品目录'!B5</f>
        <v>66</v>
      </c>
      <c r="H914" t="s">
        <v>67</v>
      </c>
      <c r="I914">
        <v>4</v>
      </c>
      <c r="J914" s="4">
        <v>45</v>
      </c>
      <c r="K914" s="4">
        <f>I914*J914</f>
        <v>180</v>
      </c>
      <c r="L914" s="3">
        <v>0</v>
      </c>
      <c r="M914" s="4">
        <f>K914*L914</f>
        <v>0</v>
      </c>
      <c r="N914" s="4">
        <v>0</v>
      </c>
      <c r="O914" s="4">
        <f>K914-M914+N914</f>
        <v>180</v>
      </c>
      <c r="P914" t="s">
        <v>43</v>
      </c>
      <c r="Q914" t="b">
        <v>1</v>
      </c>
      <c r="R914" t="s">
        <v>55</v>
      </c>
      <c r="S914" t="s">
        <v>45</v>
      </c>
      <c r="T914" t="s">
        <v>46</v>
      </c>
      <c r="U914" t="s">
        <v>70</v>
      </c>
      <c r="V914" t="s">
        <v>38</v>
      </c>
      <c r="W914" t="s">
        <v>1886</v>
      </c>
      <c r="X914" t="s">
        <v>72</v>
      </c>
      <c r="Y914">
        <v>9007199254741899</v>
      </c>
      <c r="Z914">
        <v>0</v>
      </c>
      <c r="AA914" t="s">
        <v>38</v>
      </c>
      <c r="AB914" t="b">
        <v>0</v>
      </c>
      <c r="AD914" s="3">
        <v>0.125</v>
      </c>
      <c r="AE914" s="2">
        <v>45912.5</v>
      </c>
      <c r="AF914" t="s">
        <v>60</v>
      </c>
    </row>
    <row r="915">
      <c r="A915" t="s">
        <v>1887</v>
      </c>
      <c r="B915" s="2">
        <v>45911.5</v>
      </c>
      <c r="C915" t="s">
        <v>49</v>
      </c>
      <c r="D915" t="s">
        <f>'客户档案'!B4</f>
        <v>50</v>
      </c>
      <c r="E915" t="s">
        <v>74</v>
      </c>
      <c r="F915" t="s">
        <v>75</v>
      </c>
      <c r="G915" t="s">
        <f>'商品目录'!B6</f>
        <v>76</v>
      </c>
      <c r="H915" t="s">
        <v>77</v>
      </c>
      <c r="I915">
        <v>6</v>
      </c>
      <c r="J915" s="4">
        <v>8</v>
      </c>
      <c r="K915" s="4">
        <f>I915*J915</f>
        <v>48</v>
      </c>
      <c r="L915" s="3">
        <v>0.5</v>
      </c>
      <c r="M915" s="4">
        <f>K915*L915</f>
        <v>24</v>
      </c>
      <c r="N915" s="4">
        <v>10</v>
      </c>
      <c r="O915" s="4">
        <f>K915-M915+N915</f>
        <v>34</v>
      </c>
      <c r="P915" t="s">
        <v>43</v>
      </c>
      <c r="Q915" t="b">
        <v>1</v>
      </c>
      <c r="R915" t="s">
        <v>55</v>
      </c>
      <c r="S915" t="s">
        <v>56</v>
      </c>
      <c r="T915" t="s">
        <v>57</v>
      </c>
      <c r="U915" t="s">
        <v>78</v>
      </c>
      <c r="V915" t="s">
        <v>50</v>
      </c>
      <c r="W915" t="s">
        <v>1888</v>
      </c>
      <c r="X915" t="s">
        <v>80</v>
      </c>
      <c r="Y915">
        <v>9007199254741900</v>
      </c>
      <c r="Z915">
        <v>0</v>
      </c>
      <c r="AA915" t="s">
        <v>50</v>
      </c>
      <c r="AB915" t="b">
        <v>1</v>
      </c>
      <c r="AD915" s="3">
        <v>0.125</v>
      </c>
      <c r="AE915" s="2">
        <v>45913.5</v>
      </c>
      <c r="AF915" t="s">
        <v>60</v>
      </c>
    </row>
    <row r="916">
      <c r="A916" t="s">
        <v>1889</v>
      </c>
      <c r="B916" s="2">
        <v>45912.5</v>
      </c>
      <c r="C916" t="s">
        <v>62</v>
      </c>
      <c r="D916" t="s">
        <f>'客户档案'!B5</f>
        <v>63</v>
      </c>
      <c r="E916" t="s">
        <v>39</v>
      </c>
      <c r="F916" t="s">
        <v>40</v>
      </c>
      <c r="G916" t="s">
        <f>'商品目录'!B3</f>
        <v>41</v>
      </c>
      <c r="H916" t="s">
        <v>42</v>
      </c>
      <c r="I916">
        <v>8</v>
      </c>
      <c r="J916" s="4">
        <v>99</v>
      </c>
      <c r="K916" s="4">
        <f>I916*J916</f>
        <v>792</v>
      </c>
      <c r="L916" s="3">
        <v>0</v>
      </c>
      <c r="M916" s="4">
        <f>K916*L916</f>
        <v>0</v>
      </c>
      <c r="N916" s="4">
        <v>20</v>
      </c>
      <c r="O916" s="4">
        <f>K916-M916+N916</f>
        <v>812</v>
      </c>
      <c r="P916" t="s">
        <v>43</v>
      </c>
      <c r="Q916" t="b">
        <v>0</v>
      </c>
      <c r="R916" t="s">
        <v>44</v>
      </c>
      <c r="S916" t="s">
        <v>68</v>
      </c>
      <c r="T916" t="s">
        <v>69</v>
      </c>
      <c r="U916" t="s">
        <v>39</v>
      </c>
      <c r="V916" t="s">
        <v>63</v>
      </c>
      <c r="W916" t="s">
        <v>1890</v>
      </c>
      <c r="X916" t="s">
        <v>0</v>
      </c>
      <c r="Y916">
        <v>9007199254741901</v>
      </c>
      <c r="Z916">
        <v>0</v>
      </c>
      <c r="AA916" t="s">
        <v>63</v>
      </c>
      <c r="AB916" t="b">
        <v>0</v>
      </c>
      <c r="AD916" s="3">
        <v>0.125</v>
      </c>
      <c r="AE916" s="2">
        <v>45914.5</v>
      </c>
      <c r="AF916" t="s">
        <v>60</v>
      </c>
    </row>
    <row r="917">
      <c r="A917" t="s">
        <v>1891</v>
      </c>
      <c r="B917" s="2">
        <v>45913.5</v>
      </c>
      <c r="C917" t="s">
        <v>37</v>
      </c>
      <c r="D917" t="s">
        <f>'客户档案'!B3</f>
        <v>38</v>
      </c>
      <c r="E917" t="s">
        <v>51</v>
      </c>
      <c r="F917" t="s">
        <v>52</v>
      </c>
      <c r="G917" t="s">
        <f>'商品目录'!B4</f>
        <v>53</v>
      </c>
      <c r="H917" t="s">
        <v>54</v>
      </c>
      <c r="I917">
        <v>10</v>
      </c>
      <c r="J917" s="4">
        <v>129</v>
      </c>
      <c r="K917" s="4">
        <f>I917*J917</f>
        <v>1290</v>
      </c>
      <c r="L917" s="3">
        <v>0.5</v>
      </c>
      <c r="M917" s="4">
        <f>K917*L917</f>
        <v>645</v>
      </c>
      <c r="N917" s="4">
        <v>0</v>
      </c>
      <c r="O917" s="4">
        <f>K917-M917+N917</f>
        <v>645</v>
      </c>
      <c r="P917" t="s">
        <v>43</v>
      </c>
      <c r="Q917" t="b">
        <v>1</v>
      </c>
      <c r="R917" t="s">
        <v>55</v>
      </c>
      <c r="S917" t="s">
        <v>45</v>
      </c>
      <c r="T917" t="s">
        <v>46</v>
      </c>
      <c r="U917" t="s">
        <v>51</v>
      </c>
      <c r="V917" t="s">
        <v>38</v>
      </c>
      <c r="W917" t="s">
        <v>1892</v>
      </c>
      <c r="X917" t="s">
        <v>59</v>
      </c>
      <c r="Y917">
        <v>9007199254741902</v>
      </c>
      <c r="Z917">
        <v>0</v>
      </c>
      <c r="AA917" t="s">
        <v>38</v>
      </c>
      <c r="AB917" t="b">
        <v>1</v>
      </c>
      <c r="AD917" s="3">
        <v>0.125</v>
      </c>
      <c r="AE917" s="2">
        <v>45915.5</v>
      </c>
      <c r="AF917" t="e">
        <v>#N/A</v>
      </c>
    </row>
    <row r="918">
      <c r="A918" t="s">
        <v>1893</v>
      </c>
      <c r="B918" s="2">
        <v>45914.5</v>
      </c>
      <c r="C918" t="s">
        <v>49</v>
      </c>
      <c r="D918" t="s">
        <f>'客户档案'!B4</f>
        <v>50</v>
      </c>
      <c r="E918" t="s">
        <v>64</v>
      </c>
      <c r="F918" t="s">
        <v>65</v>
      </c>
      <c r="G918" t="s">
        <f>'商品目录'!B5</f>
        <v>66</v>
      </c>
      <c r="H918" t="s">
        <v>67</v>
      </c>
      <c r="I918">
        <v>2</v>
      </c>
      <c r="J918" s="4">
        <v>45</v>
      </c>
      <c r="K918" s="4">
        <f>I918*J918</f>
        <v>90</v>
      </c>
      <c r="L918" s="3">
        <v>0</v>
      </c>
      <c r="M918" s="4">
        <f>K918*L918</f>
        <v>0</v>
      </c>
      <c r="N918" s="4">
        <v>10</v>
      </c>
      <c r="O918" s="4">
        <f>K918-M918+N918</f>
        <v>100</v>
      </c>
      <c r="P918" t="s">
        <v>43</v>
      </c>
      <c r="Q918" t="b">
        <v>1</v>
      </c>
      <c r="R918" t="s">
        <v>55</v>
      </c>
      <c r="S918" t="s">
        <v>56</v>
      </c>
      <c r="T918" t="s">
        <v>57</v>
      </c>
      <c r="U918" t="s">
        <v>70</v>
      </c>
      <c r="V918" t="s">
        <v>50</v>
      </c>
      <c r="W918" t="s">
        <v>1894</v>
      </c>
      <c r="X918" t="s">
        <v>72</v>
      </c>
      <c r="Y918">
        <v>9007199254741903</v>
      </c>
      <c r="Z918">
        <v>0</v>
      </c>
      <c r="AA918" t="s">
        <v>50</v>
      </c>
      <c r="AB918" t="b">
        <v>0</v>
      </c>
      <c r="AD918" s="3">
        <v>0.125</v>
      </c>
      <c r="AE918" s="2">
        <v>45916.5</v>
      </c>
      <c r="AF918" t="s">
        <v>60</v>
      </c>
    </row>
    <row r="919">
      <c r="A919" t="s">
        <v>1895</v>
      </c>
      <c r="B919" s="2">
        <v>45915.5</v>
      </c>
      <c r="C919" t="s">
        <v>62</v>
      </c>
      <c r="D919" t="s">
        <f>'客户档案'!B5</f>
        <v>63</v>
      </c>
      <c r="E919" t="s">
        <v>74</v>
      </c>
      <c r="F919" t="s">
        <v>75</v>
      </c>
      <c r="G919" t="s">
        <f>'商品目录'!B6</f>
        <v>76</v>
      </c>
      <c r="H919" t="s">
        <v>77</v>
      </c>
      <c r="I919">
        <v>4</v>
      </c>
      <c r="J919" s="4">
        <v>8</v>
      </c>
      <c r="K919" s="4">
        <f>I919*J919</f>
        <v>32</v>
      </c>
      <c r="L919" s="3">
        <v>0.5</v>
      </c>
      <c r="M919" s="4">
        <f>K919*L919</f>
        <v>16</v>
      </c>
      <c r="N919" s="4">
        <v>20</v>
      </c>
      <c r="O919" s="4">
        <f>K919-M919+N919</f>
        <v>36</v>
      </c>
      <c r="P919" t="s">
        <v>43</v>
      </c>
      <c r="Q919" t="b">
        <v>1</v>
      </c>
      <c r="R919" t="s">
        <v>55</v>
      </c>
      <c r="S919" t="s">
        <v>68</v>
      </c>
      <c r="T919" t="s">
        <v>69</v>
      </c>
      <c r="U919" t="s">
        <v>78</v>
      </c>
      <c r="V919" t="s">
        <v>63</v>
      </c>
      <c r="W919" t="s">
        <v>1896</v>
      </c>
      <c r="X919" t="s">
        <v>80</v>
      </c>
      <c r="Y919">
        <v>9007199254741904</v>
      </c>
      <c r="Z919">
        <v>0</v>
      </c>
      <c r="AA919" t="s">
        <v>63</v>
      </c>
      <c r="AB919" t="b">
        <v>1</v>
      </c>
      <c r="AD919" s="3">
        <v>0.125</v>
      </c>
      <c r="AE919" s="2">
        <v>45917.5</v>
      </c>
      <c r="AF919" t="s">
        <v>60</v>
      </c>
    </row>
    <row r="920">
      <c r="A920" t="s">
        <v>1897</v>
      </c>
      <c r="B920" s="2">
        <v>45916.5</v>
      </c>
      <c r="C920" t="s">
        <v>37</v>
      </c>
      <c r="D920" t="s">
        <f>'客户档案'!B3</f>
        <v>38</v>
      </c>
      <c r="E920" t="s">
        <v>39</v>
      </c>
      <c r="F920" t="s">
        <v>40</v>
      </c>
      <c r="G920" t="s">
        <f>'商品目录'!B3</f>
        <v>41</v>
      </c>
      <c r="H920" t="s">
        <v>42</v>
      </c>
      <c r="I920">
        <v>6</v>
      </c>
      <c r="J920" s="4">
        <v>99</v>
      </c>
      <c r="K920" s="4">
        <f>I920*J920</f>
        <v>594</v>
      </c>
      <c r="L920" s="3">
        <v>0</v>
      </c>
      <c r="M920" s="4">
        <f>K920*L920</f>
        <v>0</v>
      </c>
      <c r="N920" s="4">
        <v>0</v>
      </c>
      <c r="O920" s="4">
        <f>K920-M920+N920</f>
        <v>594</v>
      </c>
      <c r="P920" t="s">
        <v>43</v>
      </c>
      <c r="Q920" t="b">
        <v>0</v>
      </c>
      <c r="R920" t="s">
        <v>44</v>
      </c>
      <c r="S920" t="s">
        <v>45</v>
      </c>
      <c r="T920" t="s">
        <v>46</v>
      </c>
      <c r="U920" t="s">
        <v>39</v>
      </c>
      <c r="V920" t="s">
        <v>38</v>
      </c>
      <c r="W920" t="s">
        <v>1898</v>
      </c>
      <c r="X920" t="s">
        <v>0</v>
      </c>
      <c r="Y920">
        <v>9007199254741905</v>
      </c>
      <c r="Z920">
        <v>0</v>
      </c>
      <c r="AA920" t="s">
        <v>38</v>
      </c>
      <c r="AB920" t="b">
        <v>0</v>
      </c>
      <c r="AD920" s="3">
        <v>0.125</v>
      </c>
      <c r="AE920" s="2">
        <v>45918.5</v>
      </c>
      <c r="AF920" t="s">
        <v>60</v>
      </c>
    </row>
    <row r="921">
      <c r="A921" t="s">
        <v>1899</v>
      </c>
      <c r="B921" s="2">
        <v>45917.5</v>
      </c>
      <c r="C921" t="s">
        <v>49</v>
      </c>
      <c r="D921" t="s">
        <f>'客户档案'!B4</f>
        <v>50</v>
      </c>
      <c r="E921" t="s">
        <v>51</v>
      </c>
      <c r="F921" t="s">
        <v>52</v>
      </c>
      <c r="G921" t="s">
        <f>'商品目录'!B4</f>
        <v>53</v>
      </c>
      <c r="H921" t="s">
        <v>54</v>
      </c>
      <c r="I921">
        <v>8</v>
      </c>
      <c r="J921" s="4">
        <v>129</v>
      </c>
      <c r="K921" s="4">
        <f>I921*J921</f>
        <v>1032</v>
      </c>
      <c r="L921" s="3">
        <v>0.5</v>
      </c>
      <c r="M921" s="4">
        <f>K921*L921</f>
        <v>516</v>
      </c>
      <c r="N921" s="4">
        <v>10</v>
      </c>
      <c r="O921" s="4">
        <f>K921-M921+N921</f>
        <v>526</v>
      </c>
      <c r="P921" t="s">
        <v>43</v>
      </c>
      <c r="Q921" t="b">
        <v>1</v>
      </c>
      <c r="R921" t="s">
        <v>55</v>
      </c>
      <c r="S921" t="s">
        <v>56</v>
      </c>
      <c r="T921" t="s">
        <v>57</v>
      </c>
      <c r="U921" t="s">
        <v>51</v>
      </c>
      <c r="V921" t="s">
        <v>50</v>
      </c>
      <c r="W921" t="s">
        <v>1900</v>
      </c>
      <c r="X921" t="s">
        <v>59</v>
      </c>
      <c r="Y921">
        <v>9007199254741906</v>
      </c>
      <c r="Z921">
        <v>0</v>
      </c>
      <c r="AA921" t="s">
        <v>50</v>
      </c>
      <c r="AB921" t="b">
        <v>1</v>
      </c>
      <c r="AD921" s="3">
        <v>0.125</v>
      </c>
      <c r="AE921" s="2">
        <v>45919.5</v>
      </c>
      <c r="AF921" t="s">
        <v>60</v>
      </c>
    </row>
    <row r="922">
      <c r="A922" t="s">
        <v>1901</v>
      </c>
      <c r="B922" s="2">
        <v>45918.5</v>
      </c>
      <c r="C922" t="s">
        <v>62</v>
      </c>
      <c r="D922" t="s">
        <f>'客户档案'!B5</f>
        <v>63</v>
      </c>
      <c r="E922" t="s">
        <v>64</v>
      </c>
      <c r="F922" t="s">
        <v>65</v>
      </c>
      <c r="G922" t="s">
        <f>'商品目录'!B5</f>
        <v>66</v>
      </c>
      <c r="H922" t="s">
        <v>67</v>
      </c>
      <c r="I922">
        <v>10</v>
      </c>
      <c r="J922" s="4">
        <v>45</v>
      </c>
      <c r="K922" s="4">
        <f>I922*J922</f>
        <v>450</v>
      </c>
      <c r="L922" s="3">
        <v>0</v>
      </c>
      <c r="M922" s="4">
        <f>K922*L922</f>
        <v>0</v>
      </c>
      <c r="N922" s="4">
        <v>20</v>
      </c>
      <c r="O922" s="4">
        <f>K922-M922+N922</f>
        <v>470</v>
      </c>
      <c r="P922" t="s">
        <v>43</v>
      </c>
      <c r="Q922" t="b">
        <v>1</v>
      </c>
      <c r="R922" t="s">
        <v>55</v>
      </c>
      <c r="S922" t="s">
        <v>68</v>
      </c>
      <c r="T922" t="s">
        <v>69</v>
      </c>
      <c r="U922" t="s">
        <v>70</v>
      </c>
      <c r="V922" t="s">
        <v>63</v>
      </c>
      <c r="W922" t="s">
        <v>1902</v>
      </c>
      <c r="X922" t="s">
        <v>72</v>
      </c>
      <c r="Y922">
        <v>9007199254741907</v>
      </c>
      <c r="Z922">
        <v>0</v>
      </c>
      <c r="AA922" t="s">
        <v>63</v>
      </c>
      <c r="AB922" t="b">
        <v>0</v>
      </c>
      <c r="AD922" s="3">
        <v>0.125</v>
      </c>
      <c r="AE922" s="2">
        <v>45920.5</v>
      </c>
      <c r="AF922" t="s">
        <v>60</v>
      </c>
    </row>
    <row r="923">
      <c r="A923" t="s">
        <v>1903</v>
      </c>
      <c r="B923" s="2">
        <v>45919.5</v>
      </c>
      <c r="C923" t="s">
        <v>37</v>
      </c>
      <c r="D923" t="s">
        <f>'客户档案'!B3</f>
        <v>38</v>
      </c>
      <c r="E923" t="s">
        <v>74</v>
      </c>
      <c r="F923" t="s">
        <v>75</v>
      </c>
      <c r="G923" t="s">
        <f>'商品目录'!B6</f>
        <v>76</v>
      </c>
      <c r="H923" t="s">
        <v>77</v>
      </c>
      <c r="I923">
        <v>2</v>
      </c>
      <c r="J923" s="4">
        <v>8</v>
      </c>
      <c r="K923" s="4">
        <f>I923*J923</f>
        <v>16</v>
      </c>
      <c r="L923" s="3">
        <v>0.5</v>
      </c>
      <c r="M923" s="4">
        <f>K923*L923</f>
        <v>8</v>
      </c>
      <c r="N923" s="4">
        <v>0</v>
      </c>
      <c r="O923" s="4">
        <f>K923-M923+N923</f>
        <v>8</v>
      </c>
      <c r="P923" t="s">
        <v>43</v>
      </c>
      <c r="Q923" t="b">
        <v>1</v>
      </c>
      <c r="R923" t="s">
        <v>55</v>
      </c>
      <c r="S923" t="s">
        <v>45</v>
      </c>
      <c r="T923" t="s">
        <v>46</v>
      </c>
      <c r="U923" t="s">
        <v>78</v>
      </c>
      <c r="V923" t="s">
        <v>38</v>
      </c>
      <c r="W923" t="s">
        <v>1904</v>
      </c>
      <c r="X923" t="s">
        <v>80</v>
      </c>
      <c r="Y923">
        <v>9007199254741908</v>
      </c>
      <c r="Z923">
        <v>0</v>
      </c>
      <c r="AA923" t="s">
        <v>38</v>
      </c>
      <c r="AB923" t="b">
        <v>1</v>
      </c>
      <c r="AD923" s="3">
        <v>0.125</v>
      </c>
      <c r="AE923" s="2">
        <v>45921.5</v>
      </c>
      <c r="AF923" t="s">
        <v>60</v>
      </c>
    </row>
    <row r="924">
      <c r="A924" t="s">
        <v>1905</v>
      </c>
      <c r="B924" s="2">
        <v>45920.5</v>
      </c>
      <c r="C924" t="s">
        <v>49</v>
      </c>
      <c r="D924" t="s">
        <f>'客户档案'!B4</f>
        <v>50</v>
      </c>
      <c r="E924" t="s">
        <v>39</v>
      </c>
      <c r="F924" t="s">
        <v>40</v>
      </c>
      <c r="G924" t="s">
        <f>'商品目录'!B3</f>
        <v>41</v>
      </c>
      <c r="H924" t="s">
        <v>42</v>
      </c>
      <c r="I924">
        <v>4</v>
      </c>
      <c r="J924" s="4">
        <v>99</v>
      </c>
      <c r="K924" s="4">
        <f>I924*J924</f>
        <v>396</v>
      </c>
      <c r="L924" s="3">
        <v>0</v>
      </c>
      <c r="M924" s="4">
        <f>K924*L924</f>
        <v>0</v>
      </c>
      <c r="N924" s="4">
        <v>10</v>
      </c>
      <c r="O924" s="4">
        <f>K924-M924+N924</f>
        <v>406</v>
      </c>
      <c r="P924" t="s">
        <v>43</v>
      </c>
      <c r="Q924" t="b">
        <v>0</v>
      </c>
      <c r="R924" t="s">
        <v>44</v>
      </c>
      <c r="S924" t="s">
        <v>56</v>
      </c>
      <c r="T924" t="s">
        <v>57</v>
      </c>
      <c r="U924" t="s">
        <v>39</v>
      </c>
      <c r="V924" t="s">
        <v>50</v>
      </c>
      <c r="W924" t="s">
        <v>1906</v>
      </c>
      <c r="X924" t="s">
        <v>0</v>
      </c>
      <c r="Y924">
        <v>9007199254741909</v>
      </c>
      <c r="Z924">
        <v>0</v>
      </c>
      <c r="AA924" t="s">
        <v>50</v>
      </c>
      <c r="AB924" t="b">
        <v>0</v>
      </c>
      <c r="AD924" s="3">
        <v>0.125</v>
      </c>
      <c r="AE924" s="2">
        <v>45922.5</v>
      </c>
      <c r="AF924" t="s">
        <v>60</v>
      </c>
    </row>
    <row r="925">
      <c r="A925" t="s">
        <v>1907</v>
      </c>
      <c r="B925" s="2">
        <v>45921.5</v>
      </c>
      <c r="C925" t="s">
        <v>62</v>
      </c>
      <c r="D925" t="s">
        <f>'客户档案'!B5</f>
        <v>63</v>
      </c>
      <c r="E925" t="s">
        <v>51</v>
      </c>
      <c r="F925" t="s">
        <v>52</v>
      </c>
      <c r="G925" t="s">
        <f>'商品目录'!B4</f>
        <v>53</v>
      </c>
      <c r="H925" t="s">
        <v>54</v>
      </c>
      <c r="I925">
        <v>6</v>
      </c>
      <c r="J925" s="4">
        <v>129</v>
      </c>
      <c r="K925" s="4">
        <f>I925*J925</f>
        <v>774</v>
      </c>
      <c r="L925" s="3">
        <v>0.5</v>
      </c>
      <c r="M925" s="4">
        <f>K925*L925</f>
        <v>387</v>
      </c>
      <c r="N925" s="4">
        <v>20</v>
      </c>
      <c r="O925" s="4">
        <f>K925-M925+N925</f>
        <v>407</v>
      </c>
      <c r="P925" t="s">
        <v>43</v>
      </c>
      <c r="Q925" t="b">
        <v>1</v>
      </c>
      <c r="R925" t="s">
        <v>55</v>
      </c>
      <c r="S925" t="s">
        <v>68</v>
      </c>
      <c r="T925" t="s">
        <v>69</v>
      </c>
      <c r="U925" t="s">
        <v>51</v>
      </c>
      <c r="V925" t="s">
        <v>63</v>
      </c>
      <c r="W925" t="s">
        <v>1908</v>
      </c>
      <c r="X925" t="s">
        <v>59</v>
      </c>
      <c r="Y925">
        <v>9007199254741910</v>
      </c>
      <c r="Z925">
        <v>0</v>
      </c>
      <c r="AA925" t="s">
        <v>63</v>
      </c>
      <c r="AB925" t="b">
        <v>1</v>
      </c>
      <c r="AD925" s="3">
        <v>0.125</v>
      </c>
      <c r="AE925" s="2">
        <v>45923.5</v>
      </c>
      <c r="AF925" t="s">
        <v>60</v>
      </c>
    </row>
    <row r="926">
      <c r="A926" t="s">
        <v>1909</v>
      </c>
      <c r="B926" s="2">
        <v>45922.5</v>
      </c>
      <c r="C926" t="s">
        <v>37</v>
      </c>
      <c r="D926" t="s">
        <f>'客户档案'!B3</f>
        <v>38</v>
      </c>
      <c r="E926" t="s">
        <v>64</v>
      </c>
      <c r="F926" t="s">
        <v>65</v>
      </c>
      <c r="G926" t="s">
        <f>'商品目录'!B5</f>
        <v>66</v>
      </c>
      <c r="H926" t="s">
        <v>67</v>
      </c>
      <c r="I926">
        <v>8</v>
      </c>
      <c r="J926" s="4">
        <v>45</v>
      </c>
      <c r="K926" s="4">
        <f>I926*J926</f>
        <v>360</v>
      </c>
      <c r="L926" s="3">
        <v>0</v>
      </c>
      <c r="M926" s="4">
        <f>K926*L926</f>
        <v>0</v>
      </c>
      <c r="N926" s="4">
        <v>0</v>
      </c>
      <c r="O926" s="4">
        <f>K926-M926+N926</f>
        <v>360</v>
      </c>
      <c r="P926" t="s">
        <v>43</v>
      </c>
      <c r="Q926" t="b">
        <v>1</v>
      </c>
      <c r="R926" t="s">
        <v>55</v>
      </c>
      <c r="S926" t="s">
        <v>45</v>
      </c>
      <c r="T926" t="s">
        <v>46</v>
      </c>
      <c r="U926" t="s">
        <v>70</v>
      </c>
      <c r="V926" t="s">
        <v>38</v>
      </c>
      <c r="W926" t="s">
        <v>1910</v>
      </c>
      <c r="X926" t="s">
        <v>72</v>
      </c>
      <c r="Y926">
        <v>9007199254741911</v>
      </c>
      <c r="Z926">
        <v>2</v>
      </c>
      <c r="AA926" t="s">
        <v>38</v>
      </c>
      <c r="AB926" t="b">
        <v>0</v>
      </c>
      <c r="AD926" s="3">
        <v>0.125</v>
      </c>
      <c r="AE926" s="2">
        <v>45924.5</v>
      </c>
      <c r="AF926" t="s">
        <v>60</v>
      </c>
    </row>
    <row r="927">
      <c r="A927" t="s">
        <v>1911</v>
      </c>
      <c r="B927" s="2">
        <v>45923.5</v>
      </c>
      <c r="C927" t="s">
        <v>49</v>
      </c>
      <c r="D927" t="s">
        <f>'客户档案'!B4</f>
        <v>50</v>
      </c>
      <c r="E927" t="s">
        <v>74</v>
      </c>
      <c r="F927" t="s">
        <v>75</v>
      </c>
      <c r="G927" t="s">
        <f>'商品目录'!B6</f>
        <v>76</v>
      </c>
      <c r="H927" t="s">
        <v>77</v>
      </c>
      <c r="I927">
        <v>10</v>
      </c>
      <c r="J927" s="4">
        <v>8</v>
      </c>
      <c r="K927" s="4">
        <f>I927*J927</f>
        <v>80</v>
      </c>
      <c r="L927" s="3">
        <v>0.5</v>
      </c>
      <c r="M927" s="4">
        <f>K927*L927</f>
        <v>40</v>
      </c>
      <c r="N927" s="4">
        <v>10</v>
      </c>
      <c r="O927" s="4">
        <f>K927-M927+N927</f>
        <v>50</v>
      </c>
      <c r="P927" t="s">
        <v>43</v>
      </c>
      <c r="Q927" t="b">
        <v>1</v>
      </c>
      <c r="R927" t="s">
        <v>55</v>
      </c>
      <c r="S927" t="s">
        <v>56</v>
      </c>
      <c r="T927" t="s">
        <v>57</v>
      </c>
      <c r="U927" t="s">
        <v>78</v>
      </c>
      <c r="V927" t="s">
        <v>50</v>
      </c>
      <c r="W927" t="s">
        <v>1912</v>
      </c>
      <c r="X927" t="s">
        <v>80</v>
      </c>
      <c r="Y927">
        <v>9007199254741912</v>
      </c>
      <c r="Z927">
        <v>0</v>
      </c>
      <c r="AA927" t="s">
        <v>50</v>
      </c>
      <c r="AB927" t="b">
        <v>1</v>
      </c>
      <c r="AD927" s="3">
        <v>0.125</v>
      </c>
      <c r="AE927" s="2">
        <v>45925.5</v>
      </c>
      <c r="AF927" t="s">
        <v>60</v>
      </c>
    </row>
    <row r="928">
      <c r="A928" t="s">
        <v>1913</v>
      </c>
      <c r="B928" s="2">
        <v>45924.5</v>
      </c>
      <c r="C928" t="s">
        <v>62</v>
      </c>
      <c r="D928" t="s">
        <f>'客户档案'!B5</f>
        <v>63</v>
      </c>
      <c r="E928" t="s">
        <v>39</v>
      </c>
      <c r="F928" t="s">
        <v>40</v>
      </c>
      <c r="G928" t="s">
        <f>'商品目录'!B3</f>
        <v>41</v>
      </c>
      <c r="H928" t="s">
        <v>42</v>
      </c>
      <c r="I928">
        <v>2</v>
      </c>
      <c r="J928" s="4">
        <v>99</v>
      </c>
      <c r="K928" s="4">
        <f>I928*J928</f>
        <v>198</v>
      </c>
      <c r="L928" s="3">
        <v>0</v>
      </c>
      <c r="M928" s="4">
        <f>K928*L928</f>
        <v>0</v>
      </c>
      <c r="N928" s="4">
        <v>20</v>
      </c>
      <c r="O928" s="4">
        <f>K928-M928+N928</f>
        <v>218</v>
      </c>
      <c r="P928" t="s">
        <v>43</v>
      </c>
      <c r="Q928" t="b">
        <v>0</v>
      </c>
      <c r="R928" t="s">
        <v>44</v>
      </c>
      <c r="S928" t="s">
        <v>68</v>
      </c>
      <c r="T928" t="s">
        <v>69</v>
      </c>
      <c r="U928" t="s">
        <v>39</v>
      </c>
      <c r="V928" t="s">
        <v>63</v>
      </c>
      <c r="W928" t="s">
        <v>1914</v>
      </c>
      <c r="X928" t="s">
        <v>0</v>
      </c>
      <c r="Y928">
        <v>9007199254741913</v>
      </c>
      <c r="Z928">
        <v>0</v>
      </c>
      <c r="AA928" t="s">
        <v>63</v>
      </c>
      <c r="AB928" t="b">
        <v>0</v>
      </c>
      <c r="AD928" s="3">
        <v>0.125</v>
      </c>
      <c r="AE928" s="2">
        <v>45926.5</v>
      </c>
      <c r="AF928" t="s">
        <v>60</v>
      </c>
    </row>
    <row r="929">
      <c r="A929" t="s">
        <v>1915</v>
      </c>
      <c r="B929" s="2">
        <v>45925.5</v>
      </c>
      <c r="C929" t="s">
        <v>37</v>
      </c>
      <c r="D929" t="s">
        <f>'客户档案'!B3</f>
        <v>38</v>
      </c>
      <c r="E929" t="s">
        <v>51</v>
      </c>
      <c r="F929" t="s">
        <v>52</v>
      </c>
      <c r="G929" t="s">
        <f>'商品目录'!B4</f>
        <v>53</v>
      </c>
      <c r="H929" t="s">
        <v>54</v>
      </c>
      <c r="I929">
        <v>4</v>
      </c>
      <c r="J929" s="4">
        <v>129</v>
      </c>
      <c r="K929" s="4">
        <f>I929*J929</f>
        <v>516</v>
      </c>
      <c r="L929" s="3">
        <v>0.5</v>
      </c>
      <c r="M929" s="4">
        <f>K929*L929</f>
        <v>258</v>
      </c>
      <c r="N929" s="4">
        <v>0</v>
      </c>
      <c r="O929" s="4">
        <f>K929-M929+N929</f>
        <v>258</v>
      </c>
      <c r="P929" t="s">
        <v>43</v>
      </c>
      <c r="Q929" t="b">
        <v>1</v>
      </c>
      <c r="R929" t="s">
        <v>55</v>
      </c>
      <c r="S929" t="s">
        <v>45</v>
      </c>
      <c r="T929" t="s">
        <v>46</v>
      </c>
      <c r="U929" t="s">
        <v>51</v>
      </c>
      <c r="V929" t="s">
        <v>38</v>
      </c>
      <c r="W929" t="s">
        <v>1916</v>
      </c>
      <c r="X929" t="s">
        <v>59</v>
      </c>
      <c r="Y929">
        <v>9007199254741914</v>
      </c>
      <c r="Z929">
        <v>0</v>
      </c>
      <c r="AA929" t="s">
        <v>38</v>
      </c>
      <c r="AB929" t="b">
        <v>1</v>
      </c>
      <c r="AD929" s="3">
        <v>0.125</v>
      </c>
      <c r="AE929" s="2">
        <v>45927.5</v>
      </c>
      <c r="AF929" t="s">
        <v>60</v>
      </c>
    </row>
    <row r="930">
      <c r="A930" t="s">
        <v>1917</v>
      </c>
      <c r="B930" s="2">
        <v>45926.5</v>
      </c>
      <c r="C930" t="s">
        <v>49</v>
      </c>
      <c r="D930" t="s">
        <f>'客户档案'!B4</f>
        <v>50</v>
      </c>
      <c r="E930" t="s">
        <v>64</v>
      </c>
      <c r="F930" t="s">
        <v>65</v>
      </c>
      <c r="G930" t="s">
        <f>'商品目录'!B5</f>
        <v>66</v>
      </c>
      <c r="H930" t="s">
        <v>67</v>
      </c>
      <c r="I930">
        <v>6</v>
      </c>
      <c r="J930" s="4">
        <v>45</v>
      </c>
      <c r="K930" s="4">
        <f>I930*J930</f>
        <v>270</v>
      </c>
      <c r="L930" s="3">
        <v>0</v>
      </c>
      <c r="M930" s="4">
        <f>K930*L930</f>
        <v>0</v>
      </c>
      <c r="N930" s="4">
        <v>10</v>
      </c>
      <c r="O930" s="4">
        <f>K930-M930+N930</f>
        <v>280</v>
      </c>
      <c r="P930" t="s">
        <v>43</v>
      </c>
      <c r="Q930" t="b">
        <v>1</v>
      </c>
      <c r="R930" t="s">
        <v>55</v>
      </c>
      <c r="S930" t="s">
        <v>56</v>
      </c>
      <c r="T930" t="s">
        <v>57</v>
      </c>
      <c r="U930" t="s">
        <v>70</v>
      </c>
      <c r="V930" t="s">
        <v>50</v>
      </c>
      <c r="W930" t="s">
        <v>1918</v>
      </c>
      <c r="X930" t="s">
        <v>72</v>
      </c>
      <c r="Y930">
        <v>9007199254741915</v>
      </c>
      <c r="Z930">
        <v>0</v>
      </c>
      <c r="AA930" t="s">
        <v>50</v>
      </c>
      <c r="AB930" t="b">
        <v>0</v>
      </c>
      <c r="AD930" s="3">
        <v>0.125</v>
      </c>
      <c r="AE930" s="2">
        <v>45928.5</v>
      </c>
      <c r="AF930" t="s">
        <v>60</v>
      </c>
    </row>
    <row r="931">
      <c r="A931" t="s">
        <v>1919</v>
      </c>
      <c r="B931" s="2">
        <v>45927.5</v>
      </c>
      <c r="C931" t="s">
        <v>62</v>
      </c>
      <c r="D931" t="s">
        <f>'客户档案'!B5</f>
        <v>63</v>
      </c>
      <c r="E931" t="s">
        <v>74</v>
      </c>
      <c r="F931" t="s">
        <v>75</v>
      </c>
      <c r="G931" t="s">
        <f>'商品目录'!B6</f>
        <v>76</v>
      </c>
      <c r="H931" t="s">
        <v>77</v>
      </c>
      <c r="I931">
        <v>8</v>
      </c>
      <c r="J931" s="4">
        <v>8</v>
      </c>
      <c r="K931" s="4">
        <f>I931*J931</f>
        <v>64</v>
      </c>
      <c r="L931" s="3">
        <v>0.5</v>
      </c>
      <c r="M931" s="4">
        <f>K931*L931</f>
        <v>32</v>
      </c>
      <c r="N931" s="4">
        <v>20</v>
      </c>
      <c r="O931" s="4">
        <f>K931-M931+N931</f>
        <v>52</v>
      </c>
      <c r="P931" t="s">
        <v>43</v>
      </c>
      <c r="Q931" t="b">
        <v>1</v>
      </c>
      <c r="R931" t="s">
        <v>55</v>
      </c>
      <c r="S931" t="s">
        <v>68</v>
      </c>
      <c r="T931" t="s">
        <v>69</v>
      </c>
      <c r="U931" t="s">
        <v>78</v>
      </c>
      <c r="V931" t="s">
        <v>63</v>
      </c>
      <c r="W931" t="s">
        <v>1920</v>
      </c>
      <c r="X931" t="s">
        <v>80</v>
      </c>
      <c r="Y931">
        <v>9007199254741916</v>
      </c>
      <c r="Z931">
        <v>0</v>
      </c>
      <c r="AA931" t="s">
        <v>63</v>
      </c>
      <c r="AB931" t="b">
        <v>1</v>
      </c>
      <c r="AD931" s="3">
        <v>0.125</v>
      </c>
      <c r="AE931" s="2">
        <v>45929.5</v>
      </c>
      <c r="AF931" t="s">
        <v>60</v>
      </c>
    </row>
    <row r="932">
      <c r="A932" t="s">
        <v>1921</v>
      </c>
      <c r="B932" s="2">
        <v>45900.5</v>
      </c>
      <c r="C932" t="s">
        <v>37</v>
      </c>
      <c r="D932" t="s">
        <f>'客户档案'!B3</f>
        <v>38</v>
      </c>
      <c r="E932" t="s">
        <v>39</v>
      </c>
      <c r="F932" t="s">
        <v>40</v>
      </c>
      <c r="G932" t="s">
        <f>'商品目录'!B3</f>
        <v>41</v>
      </c>
      <c r="H932" t="s">
        <v>42</v>
      </c>
      <c r="I932">
        <v>10</v>
      </c>
      <c r="J932" s="4">
        <v>99</v>
      </c>
      <c r="K932" s="4">
        <f>I932*J932</f>
        <v>990</v>
      </c>
      <c r="L932" s="3">
        <v>0</v>
      </c>
      <c r="M932" s="4">
        <f>K932*L932</f>
        <v>0</v>
      </c>
      <c r="N932" s="4">
        <v>0</v>
      </c>
      <c r="O932" s="4">
        <f>K932-M932+N932</f>
        <v>990</v>
      </c>
      <c r="P932" t="s">
        <v>43</v>
      </c>
      <c r="Q932" t="b">
        <v>0</v>
      </c>
      <c r="R932" t="s">
        <v>44</v>
      </c>
      <c r="S932" t="s">
        <v>45</v>
      </c>
      <c r="T932" t="s">
        <v>46</v>
      </c>
      <c r="U932" t="s">
        <v>39</v>
      </c>
      <c r="V932" t="s">
        <v>38</v>
      </c>
      <c r="W932" t="s">
        <v>1922</v>
      </c>
      <c r="X932" t="s">
        <v>0</v>
      </c>
      <c r="Y932">
        <v>9007199254741917</v>
      </c>
      <c r="Z932">
        <v>0</v>
      </c>
      <c r="AA932" t="s">
        <v>38</v>
      </c>
      <c r="AB932" t="b">
        <v>0</v>
      </c>
      <c r="AD932" s="3">
        <v>0.125</v>
      </c>
      <c r="AE932" s="2">
        <v>45902.5</v>
      </c>
      <c r="AF932" t="s">
        <v>60</v>
      </c>
    </row>
    <row r="933">
      <c r="A933" t="s">
        <v>1923</v>
      </c>
      <c r="B933" s="2">
        <v>45901.5</v>
      </c>
      <c r="C933" t="s">
        <v>49</v>
      </c>
      <c r="D933" t="s">
        <f>'客户档案'!B4</f>
        <v>50</v>
      </c>
      <c r="E933" t="s">
        <v>51</v>
      </c>
      <c r="F933" t="s">
        <v>52</v>
      </c>
      <c r="G933" t="s">
        <f>'商品目录'!B4</f>
        <v>53</v>
      </c>
      <c r="H933" t="s">
        <v>54</v>
      </c>
      <c r="I933">
        <v>2</v>
      </c>
      <c r="J933" s="4">
        <v>129</v>
      </c>
      <c r="K933" s="4">
        <f>I933*J933</f>
        <v>258</v>
      </c>
      <c r="L933" s="3">
        <v>0.5</v>
      </c>
      <c r="M933" s="4">
        <f>K933*L933</f>
        <v>129</v>
      </c>
      <c r="N933" s="4">
        <v>10</v>
      </c>
      <c r="O933" s="4">
        <f>K933-M933+N933</f>
        <v>139</v>
      </c>
      <c r="P933" t="s">
        <v>43</v>
      </c>
      <c r="Q933" t="b">
        <v>1</v>
      </c>
      <c r="R933" t="s">
        <v>55</v>
      </c>
      <c r="S933" t="s">
        <v>56</v>
      </c>
      <c r="T933" t="s">
        <v>57</v>
      </c>
      <c r="U933" t="s">
        <v>51</v>
      </c>
      <c r="V933" t="s">
        <v>50</v>
      </c>
      <c r="W933" t="s">
        <v>1924</v>
      </c>
      <c r="X933" t="s">
        <v>59</v>
      </c>
      <c r="Y933">
        <v>9007199254741918</v>
      </c>
      <c r="Z933">
        <v>0</v>
      </c>
      <c r="AA933" t="s">
        <v>50</v>
      </c>
      <c r="AB933" t="b">
        <v>1</v>
      </c>
      <c r="AD933" s="3">
        <v>0.125</v>
      </c>
      <c r="AE933" s="2">
        <v>45903.5</v>
      </c>
      <c r="AF933" t="s">
        <v>60</v>
      </c>
    </row>
    <row r="934">
      <c r="A934" t="s">
        <v>1925</v>
      </c>
      <c r="B934" s="2">
        <v>45902.5</v>
      </c>
      <c r="C934" t="s">
        <v>62</v>
      </c>
      <c r="D934" t="s">
        <f>'客户档案'!B5</f>
        <v>63</v>
      </c>
      <c r="E934" t="s">
        <v>64</v>
      </c>
      <c r="F934" t="s">
        <v>65</v>
      </c>
      <c r="G934" t="s">
        <f>'商品目录'!B5</f>
        <v>66</v>
      </c>
      <c r="H934" t="s">
        <v>67</v>
      </c>
      <c r="I934">
        <v>4</v>
      </c>
      <c r="J934" s="4">
        <v>45</v>
      </c>
      <c r="K934" s="4">
        <f>I934*J934</f>
        <v>180</v>
      </c>
      <c r="L934" s="3">
        <v>0</v>
      </c>
      <c r="M934" s="4">
        <f>K934*L934</f>
        <v>0</v>
      </c>
      <c r="N934" s="4">
        <v>20</v>
      </c>
      <c r="O934" s="4">
        <f>K934-M934+N934</f>
        <v>200</v>
      </c>
      <c r="P934" t="s">
        <v>43</v>
      </c>
      <c r="Q934" t="b">
        <v>1</v>
      </c>
      <c r="R934" t="s">
        <v>55</v>
      </c>
      <c r="S934" t="s">
        <v>68</v>
      </c>
      <c r="T934" t="s">
        <v>69</v>
      </c>
      <c r="U934" t="s">
        <v>70</v>
      </c>
      <c r="V934" t="s">
        <v>63</v>
      </c>
      <c r="W934" t="s">
        <v>1926</v>
      </c>
      <c r="X934" t="s">
        <v>72</v>
      </c>
      <c r="Y934">
        <v>9007199254741919</v>
      </c>
      <c r="Z934">
        <v>0</v>
      </c>
      <c r="AA934" t="s">
        <v>63</v>
      </c>
      <c r="AB934" t="b">
        <v>0</v>
      </c>
      <c r="AD934" s="3">
        <v>0.125</v>
      </c>
      <c r="AE934" s="2">
        <v>45904.5</v>
      </c>
      <c r="AF934" t="s">
        <v>60</v>
      </c>
    </row>
    <row r="935">
      <c r="A935" t="s">
        <v>1927</v>
      </c>
      <c r="B935" s="2">
        <v>45903.5</v>
      </c>
      <c r="C935" t="s">
        <v>37</v>
      </c>
      <c r="D935" t="s">
        <f>'客户档案'!B3</f>
        <v>38</v>
      </c>
      <c r="E935" t="s">
        <v>74</v>
      </c>
      <c r="F935" t="s">
        <v>75</v>
      </c>
      <c r="G935" t="s">
        <f>'商品目录'!B6</f>
        <v>76</v>
      </c>
      <c r="H935" t="s">
        <v>77</v>
      </c>
      <c r="I935">
        <v>6</v>
      </c>
      <c r="J935" s="4">
        <v>8</v>
      </c>
      <c r="K935" s="4">
        <f>I935*J935</f>
        <v>48</v>
      </c>
      <c r="L935" s="3">
        <v>0.5</v>
      </c>
      <c r="M935" s="4">
        <f>K935*L935</f>
        <v>24</v>
      </c>
      <c r="N935" s="4">
        <v>0</v>
      </c>
      <c r="O935" s="4">
        <f>K935-M935+N935</f>
        <v>24</v>
      </c>
      <c r="P935" t="s">
        <v>43</v>
      </c>
      <c r="Q935" t="b">
        <v>1</v>
      </c>
      <c r="R935" t="s">
        <v>55</v>
      </c>
      <c r="S935" t="s">
        <v>45</v>
      </c>
      <c r="T935" t="s">
        <v>46</v>
      </c>
      <c r="U935" t="s">
        <v>78</v>
      </c>
      <c r="V935" t="s">
        <v>38</v>
      </c>
      <c r="W935" t="s">
        <v>1928</v>
      </c>
      <c r="X935" t="s">
        <v>80</v>
      </c>
      <c r="Y935">
        <v>9007199254741920</v>
      </c>
      <c r="Z935">
        <v>0</v>
      </c>
      <c r="AA935" t="s">
        <v>38</v>
      </c>
      <c r="AB935" t="b">
        <v>1</v>
      </c>
      <c r="AD935" s="3">
        <v>0.125</v>
      </c>
      <c r="AE935" s="2">
        <v>45905.5</v>
      </c>
      <c r="AF935" t="s">
        <v>60</v>
      </c>
    </row>
    <row r="936">
      <c r="A936" t="s">
        <v>1929</v>
      </c>
      <c r="B936" s="2">
        <v>45904.5</v>
      </c>
      <c r="C936" t="s">
        <v>49</v>
      </c>
      <c r="D936" t="s">
        <f>'客户档案'!B4</f>
        <v>50</v>
      </c>
      <c r="E936" t="s">
        <v>39</v>
      </c>
      <c r="F936" t="s">
        <v>40</v>
      </c>
      <c r="G936" t="s">
        <f>'商品目录'!B3</f>
        <v>41</v>
      </c>
      <c r="H936" t="s">
        <v>42</v>
      </c>
      <c r="I936">
        <v>8</v>
      </c>
      <c r="J936" s="4">
        <v>99</v>
      </c>
      <c r="K936" s="4">
        <f>I936*J936</f>
        <v>792</v>
      </c>
      <c r="L936" s="3">
        <v>0</v>
      </c>
      <c r="M936" s="4">
        <f>K936*L936</f>
        <v>0</v>
      </c>
      <c r="N936" s="4">
        <v>10</v>
      </c>
      <c r="O936" s="4">
        <f>K936-M936+N936</f>
        <v>802</v>
      </c>
      <c r="P936" t="s">
        <v>43</v>
      </c>
      <c r="Q936" t="b">
        <v>0</v>
      </c>
      <c r="R936" t="s">
        <v>44</v>
      </c>
      <c r="S936" t="s">
        <v>56</v>
      </c>
      <c r="T936" t="s">
        <v>57</v>
      </c>
      <c r="U936" t="s">
        <v>39</v>
      </c>
      <c r="V936" t="s">
        <v>50</v>
      </c>
      <c r="W936" t="s">
        <v>1930</v>
      </c>
      <c r="X936" t="s">
        <v>0</v>
      </c>
      <c r="Y936">
        <v>9007199254741921</v>
      </c>
      <c r="Z936">
        <v>0</v>
      </c>
      <c r="AA936" t="s">
        <v>50</v>
      </c>
      <c r="AB936" t="b">
        <v>0</v>
      </c>
      <c r="AD936" s="3">
        <v>0.125</v>
      </c>
      <c r="AE936" s="2">
        <v>45906.5</v>
      </c>
      <c r="AF936" t="s">
        <v>60</v>
      </c>
    </row>
    <row r="937">
      <c r="A937" t="s">
        <v>1931</v>
      </c>
      <c r="B937" s="2">
        <v>45905.5</v>
      </c>
      <c r="C937" t="s">
        <v>62</v>
      </c>
      <c r="D937" t="s">
        <f>'客户档案'!B5</f>
        <v>63</v>
      </c>
      <c r="E937" t="s">
        <v>51</v>
      </c>
      <c r="F937" t="s">
        <v>52</v>
      </c>
      <c r="G937" t="s">
        <f>'商品目录'!B4</f>
        <v>53</v>
      </c>
      <c r="H937" t="s">
        <v>54</v>
      </c>
      <c r="I937">
        <v>10</v>
      </c>
      <c r="J937" s="4">
        <v>129</v>
      </c>
      <c r="K937" s="4">
        <f>I937*J937</f>
        <v>1290</v>
      </c>
      <c r="L937" s="3">
        <v>0.5</v>
      </c>
      <c r="M937" s="4">
        <f>K937*L937</f>
        <v>645</v>
      </c>
      <c r="N937" s="4">
        <v>20</v>
      </c>
      <c r="O937" s="4">
        <f>K937-M937+N937</f>
        <v>665</v>
      </c>
      <c r="P937" t="s">
        <v>43</v>
      </c>
      <c r="Q937" t="b">
        <v>1</v>
      </c>
      <c r="R937" t="s">
        <v>55</v>
      </c>
      <c r="S937" t="s">
        <v>68</v>
      </c>
      <c r="T937" t="s">
        <v>69</v>
      </c>
      <c r="U937" t="s">
        <v>51</v>
      </c>
      <c r="V937" t="s">
        <v>63</v>
      </c>
      <c r="W937" t="s">
        <v>1932</v>
      </c>
      <c r="X937" t="s">
        <v>59</v>
      </c>
      <c r="Y937">
        <v>9007199254741922</v>
      </c>
      <c r="Z937">
        <v>0</v>
      </c>
      <c r="AA937" t="s">
        <v>63</v>
      </c>
      <c r="AB937" t="b">
        <v>1</v>
      </c>
      <c r="AD937" s="3">
        <v>0.125</v>
      </c>
      <c r="AE937" s="2">
        <v>45907.5</v>
      </c>
      <c r="AF937" t="s">
        <v>60</v>
      </c>
    </row>
    <row r="938">
      <c r="A938" t="s">
        <v>1933</v>
      </c>
      <c r="B938" s="2">
        <v>45906.5</v>
      </c>
      <c r="C938" t="s">
        <v>37</v>
      </c>
      <c r="D938" t="s">
        <f>'客户档案'!B3</f>
        <v>38</v>
      </c>
      <c r="E938" t="s">
        <v>64</v>
      </c>
      <c r="F938" t="s">
        <v>65</v>
      </c>
      <c r="G938" t="s">
        <f>'商品目录'!B5</f>
        <v>66</v>
      </c>
      <c r="H938" t="s">
        <v>67</v>
      </c>
      <c r="I938">
        <v>2</v>
      </c>
      <c r="J938" s="4">
        <v>45</v>
      </c>
      <c r="K938" s="4">
        <f>I938*J938</f>
        <v>90</v>
      </c>
      <c r="L938" s="3">
        <v>0</v>
      </c>
      <c r="M938" s="4">
        <f>K938*L938</f>
        <v>0</v>
      </c>
      <c r="N938" s="4">
        <v>0</v>
      </c>
      <c r="O938" s="4">
        <f>K938-M938+N938</f>
        <v>90</v>
      </c>
      <c r="P938" t="s">
        <v>43</v>
      </c>
      <c r="Q938" t="b">
        <v>1</v>
      </c>
      <c r="R938" t="s">
        <v>55</v>
      </c>
      <c r="S938" t="s">
        <v>45</v>
      </c>
      <c r="T938" t="s">
        <v>46</v>
      </c>
      <c r="U938" t="s">
        <v>70</v>
      </c>
      <c r="V938" t="s">
        <v>38</v>
      </c>
      <c r="W938" t="s">
        <v>1934</v>
      </c>
      <c r="X938" t="s">
        <v>72</v>
      </c>
      <c r="Y938">
        <v>9007199254741923</v>
      </c>
      <c r="Z938">
        <v>0</v>
      </c>
      <c r="AA938" t="s">
        <v>38</v>
      </c>
      <c r="AB938" t="b">
        <v>0</v>
      </c>
      <c r="AD938" s="3">
        <v>0.125</v>
      </c>
      <c r="AE938" s="2">
        <v>45908.5</v>
      </c>
      <c r="AF938" t="s">
        <v>60</v>
      </c>
    </row>
    <row r="939">
      <c r="A939" t="s">
        <v>1935</v>
      </c>
      <c r="B939" s="2">
        <v>45907.5</v>
      </c>
      <c r="C939" t="s">
        <v>49</v>
      </c>
      <c r="D939" t="s">
        <f>'客户档案'!B4</f>
        <v>50</v>
      </c>
      <c r="E939" t="s">
        <v>74</v>
      </c>
      <c r="F939" t="s">
        <v>75</v>
      </c>
      <c r="G939" t="s">
        <f>'商品目录'!B6</f>
        <v>76</v>
      </c>
      <c r="H939" t="s">
        <v>77</v>
      </c>
      <c r="I939">
        <v>4</v>
      </c>
      <c r="J939" s="4">
        <v>8</v>
      </c>
      <c r="K939" s="4">
        <f>I939*J939</f>
        <v>32</v>
      </c>
      <c r="L939" s="3">
        <v>0.5</v>
      </c>
      <c r="M939" s="4">
        <f>K939*L939</f>
        <v>16</v>
      </c>
      <c r="N939" s="4">
        <v>10</v>
      </c>
      <c r="O939" s="4">
        <f>K939-M939+N939</f>
        <v>26</v>
      </c>
      <c r="P939" t="s">
        <v>43</v>
      </c>
      <c r="Q939" t="b">
        <v>1</v>
      </c>
      <c r="R939" t="s">
        <v>55</v>
      </c>
      <c r="S939" t="s">
        <v>56</v>
      </c>
      <c r="T939" t="s">
        <v>57</v>
      </c>
      <c r="U939" t="s">
        <v>78</v>
      </c>
      <c r="V939" t="s">
        <v>50</v>
      </c>
      <c r="W939" t="s">
        <v>1936</v>
      </c>
      <c r="X939" t="s">
        <v>80</v>
      </c>
      <c r="Y939">
        <v>9007199254741924</v>
      </c>
      <c r="Z939">
        <v>0</v>
      </c>
      <c r="AA939" t="s">
        <v>50</v>
      </c>
      <c r="AB939" t="b">
        <v>1</v>
      </c>
      <c r="AD939" s="3">
        <v>0.125</v>
      </c>
      <c r="AE939" s="2">
        <v>45909.5</v>
      </c>
      <c r="AF939" t="s">
        <v>60</v>
      </c>
    </row>
    <row r="940">
      <c r="A940" t="s">
        <v>1937</v>
      </c>
      <c r="B940" s="2">
        <v>45908.5</v>
      </c>
      <c r="C940" t="s">
        <v>62</v>
      </c>
      <c r="D940" t="s">
        <f>'客户档案'!B5</f>
        <v>63</v>
      </c>
      <c r="E940" t="s">
        <v>39</v>
      </c>
      <c r="F940" t="s">
        <v>40</v>
      </c>
      <c r="G940" t="s">
        <f>'商品目录'!B3</f>
        <v>41</v>
      </c>
      <c r="H940" t="s">
        <v>42</v>
      </c>
      <c r="I940">
        <v>6</v>
      </c>
      <c r="J940" s="4">
        <v>99</v>
      </c>
      <c r="K940" s="4">
        <f>I940*J940</f>
        <v>594</v>
      </c>
      <c r="L940" s="3">
        <v>0</v>
      </c>
      <c r="M940" s="4">
        <f>K940*L940</f>
        <v>0</v>
      </c>
      <c r="N940" s="4">
        <v>20</v>
      </c>
      <c r="O940" s="4">
        <f>K940-M940+N940</f>
        <v>614</v>
      </c>
      <c r="P940" t="s">
        <v>43</v>
      </c>
      <c r="Q940" t="b">
        <v>0</v>
      </c>
      <c r="R940" t="s">
        <v>44</v>
      </c>
      <c r="S940" t="s">
        <v>68</v>
      </c>
      <c r="T940" t="s">
        <v>69</v>
      </c>
      <c r="U940" t="s">
        <v>39</v>
      </c>
      <c r="V940" t="s">
        <v>63</v>
      </c>
      <c r="W940" t="s">
        <v>1938</v>
      </c>
      <c r="X940" t="s">
        <v>0</v>
      </c>
      <c r="Y940">
        <v>9007199254741925</v>
      </c>
      <c r="Z940">
        <v>0</v>
      </c>
      <c r="AA940" t="s">
        <v>63</v>
      </c>
      <c r="AB940" t="b">
        <v>0</v>
      </c>
      <c r="AD940" s="3">
        <v>0.125</v>
      </c>
      <c r="AE940" s="2">
        <v>45910.5</v>
      </c>
      <c r="AF940" t="s">
        <v>60</v>
      </c>
    </row>
    <row r="941">
      <c r="A941" t="s">
        <v>1939</v>
      </c>
      <c r="B941" s="2">
        <v>45909.5</v>
      </c>
      <c r="C941" t="s">
        <v>37</v>
      </c>
      <c r="D941" t="s">
        <f>'客户档案'!B3</f>
        <v>38</v>
      </c>
      <c r="E941" t="s">
        <v>51</v>
      </c>
      <c r="F941" t="s">
        <v>52</v>
      </c>
      <c r="G941" t="s">
        <f>'商品目录'!B4</f>
        <v>53</v>
      </c>
      <c r="H941" t="s">
        <v>54</v>
      </c>
      <c r="I941">
        <v>8</v>
      </c>
      <c r="J941" s="4">
        <v>129</v>
      </c>
      <c r="K941" s="4">
        <f>I941*J941</f>
        <v>1032</v>
      </c>
      <c r="L941" s="3">
        <v>0.5</v>
      </c>
      <c r="M941" s="4">
        <f>K941*L941</f>
        <v>516</v>
      </c>
      <c r="N941" s="4">
        <v>0</v>
      </c>
      <c r="O941" s="4">
        <f>K941-M941+N941</f>
        <v>516</v>
      </c>
      <c r="P941" t="s">
        <v>43</v>
      </c>
      <c r="Q941" t="b">
        <v>1</v>
      </c>
      <c r="R941" t="s">
        <v>55</v>
      </c>
      <c r="S941" t="s">
        <v>45</v>
      </c>
      <c r="T941" t="s">
        <v>46</v>
      </c>
      <c r="U941" t="s">
        <v>51</v>
      </c>
      <c r="V941" t="s">
        <v>38</v>
      </c>
      <c r="W941" t="s">
        <v>1940</v>
      </c>
      <c r="X941" t="s">
        <v>59</v>
      </c>
      <c r="Y941">
        <v>9007199254741926</v>
      </c>
      <c r="Z941">
        <v>0</v>
      </c>
      <c r="AA941" t="s">
        <v>38</v>
      </c>
      <c r="AB941" t="b">
        <v>1</v>
      </c>
      <c r="AD941" s="3">
        <v>0.125</v>
      </c>
      <c r="AE941" s="2">
        <v>45911.5</v>
      </c>
      <c r="AF941" t="s">
        <v>60</v>
      </c>
    </row>
    <row r="942">
      <c r="A942" t="s">
        <v>1941</v>
      </c>
      <c r="B942" s="2">
        <v>45910.5</v>
      </c>
      <c r="C942" t="s">
        <v>49</v>
      </c>
      <c r="D942" t="s">
        <f>'客户档案'!B4</f>
        <v>50</v>
      </c>
      <c r="E942" t="s">
        <v>64</v>
      </c>
      <c r="F942" t="s">
        <v>65</v>
      </c>
      <c r="G942" t="s">
        <f>'商品目录'!B5</f>
        <v>66</v>
      </c>
      <c r="H942" t="s">
        <v>67</v>
      </c>
      <c r="I942">
        <v>10</v>
      </c>
      <c r="J942" s="4">
        <v>45</v>
      </c>
      <c r="K942" s="4">
        <f>I942*J942</f>
        <v>450</v>
      </c>
      <c r="L942" s="3">
        <v>0</v>
      </c>
      <c r="M942" s="4">
        <f>K942*L942</f>
        <v>0</v>
      </c>
      <c r="N942" s="4">
        <v>10</v>
      </c>
      <c r="O942" s="4">
        <f>K942-M942+N942</f>
        <v>460</v>
      </c>
      <c r="P942" t="s">
        <v>43</v>
      </c>
      <c r="Q942" t="b">
        <v>1</v>
      </c>
      <c r="R942" t="s">
        <v>55</v>
      </c>
      <c r="S942" t="s">
        <v>56</v>
      </c>
      <c r="T942" t="s">
        <v>57</v>
      </c>
      <c r="U942" t="s">
        <v>70</v>
      </c>
      <c r="V942" t="s">
        <v>50</v>
      </c>
      <c r="W942" t="s">
        <v>1942</v>
      </c>
      <c r="X942" t="s">
        <v>72</v>
      </c>
      <c r="Y942">
        <v>9007199254741927</v>
      </c>
      <c r="Z942">
        <v>0</v>
      </c>
      <c r="AA942" t="s">
        <v>50</v>
      </c>
      <c r="AB942" t="b">
        <v>0</v>
      </c>
      <c r="AD942" s="3">
        <v>0.125</v>
      </c>
      <c r="AE942" s="2">
        <v>45912.5</v>
      </c>
      <c r="AF942" t="s">
        <v>60</v>
      </c>
    </row>
    <row r="943">
      <c r="A943" t="s">
        <v>1943</v>
      </c>
      <c r="B943" s="2">
        <v>45911.5</v>
      </c>
      <c r="C943" t="s">
        <v>62</v>
      </c>
      <c r="D943" t="s">
        <f>'客户档案'!B5</f>
        <v>63</v>
      </c>
      <c r="E943" t="s">
        <v>74</v>
      </c>
      <c r="F943" t="s">
        <v>75</v>
      </c>
      <c r="G943" t="s">
        <f>'商品目录'!B6</f>
        <v>76</v>
      </c>
      <c r="H943" t="s">
        <v>77</v>
      </c>
      <c r="I943">
        <v>2</v>
      </c>
      <c r="J943" s="4">
        <v>8</v>
      </c>
      <c r="K943" s="4">
        <f>I943*J943</f>
        <v>16</v>
      </c>
      <c r="L943" s="3">
        <v>0.5</v>
      </c>
      <c r="M943" s="4">
        <f>K943*L943</f>
        <v>8</v>
      </c>
      <c r="N943" s="4">
        <v>20</v>
      </c>
      <c r="O943" s="4">
        <f>K943-M943+N943</f>
        <v>28</v>
      </c>
      <c r="P943" t="s">
        <v>43</v>
      </c>
      <c r="Q943" t="b">
        <v>1</v>
      </c>
      <c r="R943" t="s">
        <v>55</v>
      </c>
      <c r="S943" t="s">
        <v>68</v>
      </c>
      <c r="T943" t="s">
        <v>69</v>
      </c>
      <c r="U943" t="s">
        <v>78</v>
      </c>
      <c r="V943" t="s">
        <v>63</v>
      </c>
      <c r="W943" t="s">
        <v>1944</v>
      </c>
      <c r="X943" t="s">
        <v>80</v>
      </c>
      <c r="Y943">
        <v>9007199254741928</v>
      </c>
      <c r="Z943">
        <v>2</v>
      </c>
      <c r="AA943" t="s">
        <v>63</v>
      </c>
      <c r="AB943" t="b">
        <v>1</v>
      </c>
      <c r="AD943" s="3">
        <v>0.125</v>
      </c>
      <c r="AE943" s="2">
        <v>45913.5</v>
      </c>
      <c r="AF943" t="s">
        <v>60</v>
      </c>
    </row>
    <row r="944">
      <c r="A944" t="s">
        <v>1945</v>
      </c>
      <c r="B944" s="2">
        <v>45912.5</v>
      </c>
      <c r="C944" t="s">
        <v>37</v>
      </c>
      <c r="D944" t="s">
        <f>'客户档案'!B3</f>
        <v>38</v>
      </c>
      <c r="E944" t="s">
        <v>39</v>
      </c>
      <c r="F944" t="s">
        <v>40</v>
      </c>
      <c r="G944" t="s">
        <f>'商品目录'!B3</f>
        <v>41</v>
      </c>
      <c r="H944" t="s">
        <v>42</v>
      </c>
      <c r="I944">
        <v>4</v>
      </c>
      <c r="J944" s="4">
        <v>99</v>
      </c>
      <c r="K944" s="4">
        <f>I944*J944</f>
        <v>396</v>
      </c>
      <c r="L944" s="3">
        <v>0</v>
      </c>
      <c r="M944" s="4">
        <f>K944*L944</f>
        <v>0</v>
      </c>
      <c r="N944" s="4">
        <v>0</v>
      </c>
      <c r="O944" s="4">
        <f>K944-M944+N944</f>
        <v>396</v>
      </c>
      <c r="P944" t="s">
        <v>43</v>
      </c>
      <c r="Q944" t="b">
        <v>0</v>
      </c>
      <c r="R944" t="s">
        <v>44</v>
      </c>
      <c r="S944" t="s">
        <v>45</v>
      </c>
      <c r="T944" t="s">
        <v>46</v>
      </c>
      <c r="U944" t="s">
        <v>39</v>
      </c>
      <c r="V944" t="s">
        <v>38</v>
      </c>
      <c r="W944" t="s">
        <v>1946</v>
      </c>
      <c r="X944" t="s">
        <v>0</v>
      </c>
      <c r="Y944">
        <v>9007199254741929</v>
      </c>
      <c r="Z944">
        <v>0</v>
      </c>
      <c r="AA944" t="s">
        <v>38</v>
      </c>
      <c r="AB944" t="b">
        <v>0</v>
      </c>
      <c r="AD944" s="3">
        <v>0.125</v>
      </c>
      <c r="AE944" s="2">
        <v>45914.5</v>
      </c>
      <c r="AF944" t="s">
        <v>60</v>
      </c>
    </row>
    <row r="945">
      <c r="A945" t="s">
        <v>1947</v>
      </c>
      <c r="B945" s="2">
        <v>45913.5</v>
      </c>
      <c r="C945" t="s">
        <v>49</v>
      </c>
      <c r="D945" t="s">
        <f>'客户档案'!B4</f>
        <v>50</v>
      </c>
      <c r="E945" t="s">
        <v>51</v>
      </c>
      <c r="F945" t="s">
        <v>52</v>
      </c>
      <c r="G945" t="s">
        <f>'商品目录'!B4</f>
        <v>53</v>
      </c>
      <c r="H945" t="s">
        <v>54</v>
      </c>
      <c r="I945">
        <v>6</v>
      </c>
      <c r="J945" s="4">
        <v>129</v>
      </c>
      <c r="K945" s="4">
        <f>I945*J945</f>
        <v>774</v>
      </c>
      <c r="L945" s="3">
        <v>0.5</v>
      </c>
      <c r="M945" s="4">
        <f>K945*L945</f>
        <v>387</v>
      </c>
      <c r="N945" s="4">
        <v>10</v>
      </c>
      <c r="O945" s="4">
        <f>K945-M945+N945</f>
        <v>397</v>
      </c>
      <c r="P945" t="s">
        <v>43</v>
      </c>
      <c r="Q945" t="b">
        <v>1</v>
      </c>
      <c r="R945" t="s">
        <v>55</v>
      </c>
      <c r="S945" t="s">
        <v>56</v>
      </c>
      <c r="T945" t="s">
        <v>57</v>
      </c>
      <c r="U945" t="s">
        <v>51</v>
      </c>
      <c r="V945" t="s">
        <v>50</v>
      </c>
      <c r="W945" t="s">
        <v>1948</v>
      </c>
      <c r="X945" t="s">
        <v>59</v>
      </c>
      <c r="Y945">
        <v>9007199254741930</v>
      </c>
      <c r="Z945">
        <v>0</v>
      </c>
      <c r="AA945" t="s">
        <v>50</v>
      </c>
      <c r="AB945" t="b">
        <v>1</v>
      </c>
      <c r="AD945" s="3">
        <v>0.125</v>
      </c>
      <c r="AE945" s="2">
        <v>45915.5</v>
      </c>
      <c r="AF945" t="s">
        <v>60</v>
      </c>
    </row>
    <row r="946">
      <c r="A946" t="s">
        <v>1949</v>
      </c>
      <c r="B946" s="2">
        <v>45914.5</v>
      </c>
      <c r="C946" t="s">
        <v>62</v>
      </c>
      <c r="D946" t="s">
        <f>'客户档案'!B5</f>
        <v>63</v>
      </c>
      <c r="E946" t="s">
        <v>64</v>
      </c>
      <c r="F946" t="s">
        <v>65</v>
      </c>
      <c r="G946" t="s">
        <f>'商品目录'!B5</f>
        <v>66</v>
      </c>
      <c r="H946" t="s">
        <v>67</v>
      </c>
      <c r="I946">
        <v>8</v>
      </c>
      <c r="J946" s="4">
        <v>45</v>
      </c>
      <c r="K946" s="4">
        <f>I946*J946</f>
        <v>360</v>
      </c>
      <c r="L946" s="3">
        <v>0</v>
      </c>
      <c r="M946" s="4">
        <f>K946*L946</f>
        <v>0</v>
      </c>
      <c r="N946" s="4">
        <v>20</v>
      </c>
      <c r="O946" s="4">
        <f>K946-M946+N946</f>
        <v>380</v>
      </c>
      <c r="P946" t="s">
        <v>43</v>
      </c>
      <c r="Q946" t="b">
        <v>1</v>
      </c>
      <c r="R946" t="s">
        <v>55</v>
      </c>
      <c r="S946" t="s">
        <v>68</v>
      </c>
      <c r="T946" t="s">
        <v>69</v>
      </c>
      <c r="U946" t="s">
        <v>70</v>
      </c>
      <c r="V946" t="s">
        <v>63</v>
      </c>
      <c r="W946" t="s">
        <v>1950</v>
      </c>
      <c r="X946" t="s">
        <v>72</v>
      </c>
      <c r="Y946">
        <v>9007199254741931</v>
      </c>
      <c r="Z946">
        <v>0</v>
      </c>
      <c r="AA946" t="s">
        <v>63</v>
      </c>
      <c r="AB946" t="b">
        <v>0</v>
      </c>
      <c r="AD946" s="3">
        <v>0.125</v>
      </c>
      <c r="AE946" s="2">
        <v>45916.5</v>
      </c>
      <c r="AF946" t="s">
        <v>60</v>
      </c>
    </row>
    <row r="947">
      <c r="A947" t="s">
        <v>1951</v>
      </c>
      <c r="B947" s="2">
        <v>45915.5</v>
      </c>
      <c r="C947" t="s">
        <v>37</v>
      </c>
      <c r="D947" t="s">
        <f>'客户档案'!B3</f>
        <v>38</v>
      </c>
      <c r="E947" t="s">
        <v>74</v>
      </c>
      <c r="F947" t="s">
        <v>75</v>
      </c>
      <c r="G947" t="s">
        <f>'商品目录'!B6</f>
        <v>76</v>
      </c>
      <c r="H947" t="s">
        <v>77</v>
      </c>
      <c r="I947">
        <v>10</v>
      </c>
      <c r="J947" s="4">
        <v>8</v>
      </c>
      <c r="K947" s="4">
        <f>I947*J947</f>
        <v>80</v>
      </c>
      <c r="L947" s="3">
        <v>0.5</v>
      </c>
      <c r="M947" s="4">
        <f>K947*L947</f>
        <v>40</v>
      </c>
      <c r="N947" s="4">
        <v>0</v>
      </c>
      <c r="O947" s="4">
        <f>K947-M947+N947</f>
        <v>40</v>
      </c>
      <c r="P947" t="s">
        <v>43</v>
      </c>
      <c r="Q947" t="b">
        <v>1</v>
      </c>
      <c r="R947" t="s">
        <v>55</v>
      </c>
      <c r="S947" t="s">
        <v>45</v>
      </c>
      <c r="T947" t="s">
        <v>46</v>
      </c>
      <c r="U947" t="s">
        <v>78</v>
      </c>
      <c r="V947" t="s">
        <v>38</v>
      </c>
      <c r="W947" t="s">
        <v>1952</v>
      </c>
      <c r="X947" t="s">
        <v>80</v>
      </c>
      <c r="Y947">
        <v>9007199254741932</v>
      </c>
      <c r="Z947">
        <v>0</v>
      </c>
      <c r="AA947" t="s">
        <v>38</v>
      </c>
      <c r="AB947" t="b">
        <v>1</v>
      </c>
      <c r="AD947" s="3">
        <v>0.125</v>
      </c>
      <c r="AE947" s="2">
        <v>45917.5</v>
      </c>
      <c r="AF947" t="s">
        <v>60</v>
      </c>
    </row>
    <row r="948">
      <c r="A948" t="s">
        <v>1953</v>
      </c>
      <c r="B948" s="2">
        <v>45916.5</v>
      </c>
      <c r="C948" t="s">
        <v>49</v>
      </c>
      <c r="D948" t="s">
        <f>'客户档案'!B4</f>
        <v>50</v>
      </c>
      <c r="E948" t="s">
        <v>39</v>
      </c>
      <c r="F948" t="s">
        <v>40</v>
      </c>
      <c r="G948" t="s">
        <f>'商品目录'!B3</f>
        <v>41</v>
      </c>
      <c r="H948" t="s">
        <v>42</v>
      </c>
      <c r="I948">
        <v>2</v>
      </c>
      <c r="J948" s="4">
        <v>99</v>
      </c>
      <c r="K948" s="4">
        <f>I948*J948</f>
        <v>198</v>
      </c>
      <c r="L948" s="3">
        <v>0</v>
      </c>
      <c r="M948" s="4">
        <f>K948*L948</f>
        <v>0</v>
      </c>
      <c r="N948" s="4">
        <v>10</v>
      </c>
      <c r="O948" s="4">
        <f>K948-M948+N948</f>
        <v>208</v>
      </c>
      <c r="P948" t="s">
        <v>43</v>
      </c>
      <c r="Q948" t="b">
        <v>0</v>
      </c>
      <c r="R948" t="s">
        <v>44</v>
      </c>
      <c r="S948" t="s">
        <v>56</v>
      </c>
      <c r="T948" t="s">
        <v>57</v>
      </c>
      <c r="U948" t="s">
        <v>39</v>
      </c>
      <c r="V948" t="s">
        <v>50</v>
      </c>
      <c r="W948" t="s">
        <v>1954</v>
      </c>
      <c r="X948" t="s">
        <v>0</v>
      </c>
      <c r="Y948">
        <v>9007199254741933</v>
      </c>
      <c r="Z948">
        <v>0</v>
      </c>
      <c r="AA948" t="s">
        <v>50</v>
      </c>
      <c r="AB948" t="b">
        <v>0</v>
      </c>
      <c r="AD948" s="3">
        <v>0.125</v>
      </c>
      <c r="AE948" s="2">
        <v>45918.5</v>
      </c>
      <c r="AF948" t="s">
        <v>60</v>
      </c>
    </row>
    <row r="949">
      <c r="A949" t="s">
        <v>1955</v>
      </c>
      <c r="B949" s="2">
        <v>45917.5</v>
      </c>
      <c r="C949" t="s">
        <v>62</v>
      </c>
      <c r="D949" t="s">
        <f>'客户档案'!B5</f>
        <v>63</v>
      </c>
      <c r="E949" t="s">
        <v>51</v>
      </c>
      <c r="F949" t="s">
        <v>52</v>
      </c>
      <c r="G949" t="s">
        <f>'商品目录'!B4</f>
        <v>53</v>
      </c>
      <c r="H949" t="s">
        <v>54</v>
      </c>
      <c r="I949">
        <v>4</v>
      </c>
      <c r="J949" s="4">
        <v>129</v>
      </c>
      <c r="K949" s="4">
        <f>I949*J949</f>
        <v>516</v>
      </c>
      <c r="L949" s="3">
        <v>0.5</v>
      </c>
      <c r="M949" s="4">
        <f>K949*L949</f>
        <v>258</v>
      </c>
      <c r="N949" s="4">
        <v>20</v>
      </c>
      <c r="O949" s="4">
        <f>K949-M949+N949</f>
        <v>278</v>
      </c>
      <c r="P949" t="s">
        <v>43</v>
      </c>
      <c r="Q949" t="b">
        <v>1</v>
      </c>
      <c r="R949" t="s">
        <v>55</v>
      </c>
      <c r="S949" t="s">
        <v>68</v>
      </c>
      <c r="T949" t="s">
        <v>69</v>
      </c>
      <c r="U949" t="s">
        <v>51</v>
      </c>
      <c r="V949" t="s">
        <v>63</v>
      </c>
      <c r="W949" t="s">
        <v>1956</v>
      </c>
      <c r="X949" t="s">
        <v>59</v>
      </c>
      <c r="Y949">
        <v>9007199254741934</v>
      </c>
      <c r="Z949">
        <v>0</v>
      </c>
      <c r="AA949" t="s">
        <v>63</v>
      </c>
      <c r="AB949" t="b">
        <v>1</v>
      </c>
      <c r="AD949" s="3">
        <v>0.125</v>
      </c>
      <c r="AE949" s="2">
        <v>45919.5</v>
      </c>
      <c r="AF949" t="s">
        <v>60</v>
      </c>
    </row>
    <row r="950">
      <c r="A950" t="s">
        <v>1957</v>
      </c>
      <c r="B950" s="2">
        <v>45918.5</v>
      </c>
      <c r="C950" t="s">
        <v>37</v>
      </c>
      <c r="D950" t="s">
        <f>'客户档案'!B3</f>
        <v>38</v>
      </c>
      <c r="E950" t="s">
        <v>64</v>
      </c>
      <c r="F950" t="s">
        <v>65</v>
      </c>
      <c r="G950" t="s">
        <f>'商品目录'!B5</f>
        <v>66</v>
      </c>
      <c r="H950" t="s">
        <v>67</v>
      </c>
      <c r="I950">
        <v>6</v>
      </c>
      <c r="J950" s="4">
        <v>45</v>
      </c>
      <c r="K950" s="4">
        <f>I950*J950</f>
        <v>270</v>
      </c>
      <c r="L950" s="3">
        <v>0</v>
      </c>
      <c r="M950" s="4">
        <f>K950*L950</f>
        <v>0</v>
      </c>
      <c r="N950" s="4">
        <v>0</v>
      </c>
      <c r="O950" s="4">
        <f>K950-M950+N950</f>
        <v>270</v>
      </c>
      <c r="P950" t="s">
        <v>43</v>
      </c>
      <c r="Q950" t="b">
        <v>1</v>
      </c>
      <c r="R950" t="s">
        <v>55</v>
      </c>
      <c r="S950" t="s">
        <v>45</v>
      </c>
      <c r="T950" t="s">
        <v>46</v>
      </c>
      <c r="U950" t="s">
        <v>70</v>
      </c>
      <c r="V950" t="s">
        <v>38</v>
      </c>
      <c r="W950" t="s">
        <v>1958</v>
      </c>
      <c r="X950" t="s">
        <v>72</v>
      </c>
      <c r="Y950">
        <v>9007199254741935</v>
      </c>
      <c r="Z950">
        <v>0</v>
      </c>
      <c r="AA950" t="s">
        <v>38</v>
      </c>
      <c r="AB950" t="b">
        <v>0</v>
      </c>
      <c r="AD950" s="3">
        <v>0.125</v>
      </c>
      <c r="AE950" s="2">
        <v>45920.5</v>
      </c>
      <c r="AF950" t="s">
        <v>60</v>
      </c>
    </row>
    <row r="951">
      <c r="A951" t="s">
        <v>1959</v>
      </c>
      <c r="B951" s="2">
        <v>45919.5</v>
      </c>
      <c r="C951" t="s">
        <v>49</v>
      </c>
      <c r="D951" t="s">
        <f>'客户档案'!B4</f>
        <v>50</v>
      </c>
      <c r="E951" t="s">
        <v>74</v>
      </c>
      <c r="F951" t="s">
        <v>75</v>
      </c>
      <c r="G951" t="s">
        <f>'商品目录'!B6</f>
        <v>76</v>
      </c>
      <c r="H951" t="s">
        <v>77</v>
      </c>
      <c r="I951">
        <v>8</v>
      </c>
      <c r="J951" s="4">
        <v>8</v>
      </c>
      <c r="K951" s="4">
        <f>I951*J951</f>
        <v>64</v>
      </c>
      <c r="L951" s="3">
        <v>0.5</v>
      </c>
      <c r="M951" s="4">
        <f>K951*L951</f>
        <v>32</v>
      </c>
      <c r="N951" s="4">
        <v>10</v>
      </c>
      <c r="O951" s="4">
        <f>K951-M951+N951</f>
        <v>42</v>
      </c>
      <c r="P951" t="s">
        <v>43</v>
      </c>
      <c r="Q951" t="b">
        <v>1</v>
      </c>
      <c r="R951" t="s">
        <v>55</v>
      </c>
      <c r="S951" t="s">
        <v>56</v>
      </c>
      <c r="T951" t="s">
        <v>57</v>
      </c>
      <c r="U951" t="s">
        <v>78</v>
      </c>
      <c r="V951" t="s">
        <v>50</v>
      </c>
      <c r="W951" t="s">
        <v>1960</v>
      </c>
      <c r="X951" t="s">
        <v>80</v>
      </c>
      <c r="Y951">
        <v>9007199254741936</v>
      </c>
      <c r="Z951">
        <v>0</v>
      </c>
      <c r="AA951" t="s">
        <v>50</v>
      </c>
      <c r="AB951" t="b">
        <v>1</v>
      </c>
      <c r="AD951" s="3">
        <v>0.125</v>
      </c>
      <c r="AE951" s="2">
        <v>45921.5</v>
      </c>
      <c r="AF951" t="s">
        <v>60</v>
      </c>
    </row>
    <row r="952">
      <c r="A952" t="s">
        <v>1961</v>
      </c>
      <c r="B952" s="2">
        <v>45920.5</v>
      </c>
      <c r="C952" t="s">
        <v>62</v>
      </c>
      <c r="D952" t="s">
        <f>'客户档案'!B5</f>
        <v>63</v>
      </c>
      <c r="E952" t="s">
        <v>39</v>
      </c>
      <c r="F952" t="s">
        <v>40</v>
      </c>
      <c r="G952" t="s">
        <f>'商品目录'!B3</f>
        <v>41</v>
      </c>
      <c r="H952" t="s">
        <v>42</v>
      </c>
      <c r="I952">
        <v>10</v>
      </c>
      <c r="J952" s="4">
        <v>99</v>
      </c>
      <c r="K952" s="4">
        <f>I952*J952</f>
        <v>990</v>
      </c>
      <c r="L952" s="3">
        <v>0</v>
      </c>
      <c r="M952" s="4">
        <f>K952*L952</f>
        <v>0</v>
      </c>
      <c r="N952" s="4">
        <v>20</v>
      </c>
      <c r="O952" s="4">
        <f>K952-M952+N952</f>
        <v>1010</v>
      </c>
      <c r="P952" t="s">
        <v>43</v>
      </c>
      <c r="Q952" t="b">
        <v>0</v>
      </c>
      <c r="R952" t="s">
        <v>44</v>
      </c>
      <c r="S952" t="s">
        <v>68</v>
      </c>
      <c r="T952" t="s">
        <v>69</v>
      </c>
      <c r="U952" t="s">
        <v>39</v>
      </c>
      <c r="V952" t="s">
        <v>63</v>
      </c>
      <c r="W952" t="s">
        <v>1962</v>
      </c>
      <c r="X952" t="s">
        <v>0</v>
      </c>
      <c r="Y952">
        <v>9007199254741937</v>
      </c>
      <c r="Z952">
        <v>0</v>
      </c>
      <c r="AA952" t="s">
        <v>63</v>
      </c>
      <c r="AB952" t="b">
        <v>0</v>
      </c>
      <c r="AD952" s="3">
        <v>0.125</v>
      </c>
      <c r="AE952" s="2">
        <v>45922.5</v>
      </c>
      <c r="AF952" t="s">
        <v>60</v>
      </c>
    </row>
    <row r="953">
      <c r="A953" t="s">
        <v>1963</v>
      </c>
      <c r="B953" s="2">
        <v>45921.5</v>
      </c>
      <c r="C953" t="s">
        <v>37</v>
      </c>
      <c r="D953" t="s">
        <f>'客户档案'!B3</f>
        <v>38</v>
      </c>
      <c r="E953" t="s">
        <v>51</v>
      </c>
      <c r="F953" t="s">
        <v>52</v>
      </c>
      <c r="G953" t="s">
        <f>'商品目录'!B4</f>
        <v>53</v>
      </c>
      <c r="H953" t="s">
        <v>54</v>
      </c>
      <c r="I953">
        <v>2</v>
      </c>
      <c r="J953" s="4">
        <v>129</v>
      </c>
      <c r="K953" s="4">
        <f>I953*J953</f>
        <v>258</v>
      </c>
      <c r="L953" s="3">
        <v>0.5</v>
      </c>
      <c r="M953" s="4">
        <f>K953*L953</f>
        <v>129</v>
      </c>
      <c r="N953" s="4">
        <v>0</v>
      </c>
      <c r="O953" s="4">
        <f>K953-M953+N953</f>
        <v>129</v>
      </c>
      <c r="P953" t="s">
        <v>43</v>
      </c>
      <c r="Q953" t="b">
        <v>1</v>
      </c>
      <c r="R953" t="s">
        <v>55</v>
      </c>
      <c r="S953" t="s">
        <v>45</v>
      </c>
      <c r="T953" t="s">
        <v>46</v>
      </c>
      <c r="U953" t="s">
        <v>51</v>
      </c>
      <c r="V953" t="s">
        <v>38</v>
      </c>
      <c r="W953" t="s">
        <v>1964</v>
      </c>
      <c r="X953" t="s">
        <v>59</v>
      </c>
      <c r="Y953">
        <v>9007199254741938</v>
      </c>
      <c r="Z953">
        <v>0</v>
      </c>
      <c r="AA953" t="s">
        <v>38</v>
      </c>
      <c r="AB953" t="b">
        <v>1</v>
      </c>
      <c r="AD953" s="3">
        <v>0.125</v>
      </c>
      <c r="AE953" s="2">
        <v>45923.5</v>
      </c>
      <c r="AF953" t="s">
        <v>60</v>
      </c>
    </row>
    <row r="954">
      <c r="A954" t="s">
        <v>1965</v>
      </c>
      <c r="B954" s="2">
        <v>45922.5</v>
      </c>
      <c r="C954" t="s">
        <v>49</v>
      </c>
      <c r="D954" t="s">
        <f>'客户档案'!B4</f>
        <v>50</v>
      </c>
      <c r="E954" t="s">
        <v>64</v>
      </c>
      <c r="F954" t="s">
        <v>65</v>
      </c>
      <c r="G954" t="s">
        <f>'商品目录'!B5</f>
        <v>66</v>
      </c>
      <c r="H954" t="s">
        <v>67</v>
      </c>
      <c r="I954">
        <v>4</v>
      </c>
      <c r="J954" s="4">
        <v>45</v>
      </c>
      <c r="K954" s="4">
        <f>I954*J954</f>
        <v>180</v>
      </c>
      <c r="L954" s="3">
        <v>0</v>
      </c>
      <c r="M954" s="4">
        <f>K954*L954</f>
        <v>0</v>
      </c>
      <c r="N954" s="4">
        <v>10</v>
      </c>
      <c r="O954" s="4">
        <f>K954-M954+N954</f>
        <v>190</v>
      </c>
      <c r="P954" t="s">
        <v>43</v>
      </c>
      <c r="Q954" t="b">
        <v>1</v>
      </c>
      <c r="R954" t="s">
        <v>55</v>
      </c>
      <c r="S954" t="s">
        <v>56</v>
      </c>
      <c r="T954" t="s">
        <v>57</v>
      </c>
      <c r="U954" t="s">
        <v>70</v>
      </c>
      <c r="V954" t="s">
        <v>50</v>
      </c>
      <c r="W954" t="s">
        <v>1966</v>
      </c>
      <c r="X954" t="s">
        <v>72</v>
      </c>
      <c r="Y954">
        <v>9007199254741939</v>
      </c>
      <c r="Z954">
        <v>0</v>
      </c>
      <c r="AA954" t="s">
        <v>50</v>
      </c>
      <c r="AB954" t="b">
        <v>0</v>
      </c>
      <c r="AD954" s="3">
        <v>0.125</v>
      </c>
      <c r="AE954" s="2">
        <v>45924.5</v>
      </c>
      <c r="AF954" t="s">
        <v>60</v>
      </c>
    </row>
    <row r="955">
      <c r="A955" t="s">
        <v>1967</v>
      </c>
      <c r="B955" s="2">
        <v>45923.5</v>
      </c>
      <c r="C955" t="s">
        <v>62</v>
      </c>
      <c r="D955" t="s">
        <f>'客户档案'!B5</f>
        <v>63</v>
      </c>
      <c r="E955" t="s">
        <v>74</v>
      </c>
      <c r="F955" t="s">
        <v>75</v>
      </c>
      <c r="G955" t="s">
        <f>'商品目录'!B6</f>
        <v>76</v>
      </c>
      <c r="H955" t="s">
        <v>77</v>
      </c>
      <c r="I955">
        <v>6</v>
      </c>
      <c r="J955" s="4">
        <v>8</v>
      </c>
      <c r="K955" s="4">
        <f>I955*J955</f>
        <v>48</v>
      </c>
      <c r="L955" s="3">
        <v>0.5</v>
      </c>
      <c r="M955" s="4">
        <f>K955*L955</f>
        <v>24</v>
      </c>
      <c r="N955" s="4">
        <v>20</v>
      </c>
      <c r="O955" s="4">
        <f>K955-M955+N955</f>
        <v>44</v>
      </c>
      <c r="P955" t="s">
        <v>43</v>
      </c>
      <c r="Q955" t="b">
        <v>1</v>
      </c>
      <c r="R955" t="s">
        <v>55</v>
      </c>
      <c r="S955" t="s">
        <v>68</v>
      </c>
      <c r="T955" t="s">
        <v>69</v>
      </c>
      <c r="U955" t="s">
        <v>78</v>
      </c>
      <c r="V955" t="s">
        <v>63</v>
      </c>
      <c r="W955" t="s">
        <v>1968</v>
      </c>
      <c r="X955" t="s">
        <v>80</v>
      </c>
      <c r="Y955">
        <v>9007199254741940</v>
      </c>
      <c r="Z955">
        <v>0</v>
      </c>
      <c r="AA955" t="s">
        <v>63</v>
      </c>
      <c r="AB955" t="b">
        <v>1</v>
      </c>
      <c r="AD955" s="3">
        <v>0.125</v>
      </c>
      <c r="AE955" s="2">
        <v>45925.5</v>
      </c>
      <c r="AF955" t="s">
        <v>60</v>
      </c>
    </row>
    <row r="956">
      <c r="A956" t="s">
        <v>1969</v>
      </c>
      <c r="B956" s="2">
        <v>45924.5</v>
      </c>
      <c r="C956" t="s">
        <v>37</v>
      </c>
      <c r="D956" t="s">
        <f>'客户档案'!B3</f>
        <v>38</v>
      </c>
      <c r="E956" t="s">
        <v>39</v>
      </c>
      <c r="F956" t="s">
        <v>40</v>
      </c>
      <c r="G956" t="s">
        <f>'商品目录'!B3</f>
        <v>41</v>
      </c>
      <c r="H956" t="s">
        <v>42</v>
      </c>
      <c r="I956">
        <v>8</v>
      </c>
      <c r="J956" s="4">
        <v>99</v>
      </c>
      <c r="K956" s="4">
        <f>I956*J956</f>
        <v>792</v>
      </c>
      <c r="L956" s="3">
        <v>0</v>
      </c>
      <c r="M956" s="4">
        <f>K956*L956</f>
        <v>0</v>
      </c>
      <c r="N956" s="4">
        <v>0</v>
      </c>
      <c r="O956" s="4">
        <f>K956-M956+N956</f>
        <v>792</v>
      </c>
      <c r="P956" t="s">
        <v>43</v>
      </c>
      <c r="Q956" t="b">
        <v>0</v>
      </c>
      <c r="R956" t="s">
        <v>44</v>
      </c>
      <c r="S956" t="s">
        <v>45</v>
      </c>
      <c r="T956" t="s">
        <v>46</v>
      </c>
      <c r="U956" t="s">
        <v>39</v>
      </c>
      <c r="V956" t="s">
        <v>38</v>
      </c>
      <c r="W956" t="s">
        <v>1970</v>
      </c>
      <c r="X956" t="s">
        <v>0</v>
      </c>
      <c r="Y956">
        <v>9007199254741941</v>
      </c>
      <c r="Z956">
        <v>0</v>
      </c>
      <c r="AA956" t="s">
        <v>38</v>
      </c>
      <c r="AB956" t="b">
        <v>0</v>
      </c>
      <c r="AD956" s="3">
        <v>0.125</v>
      </c>
      <c r="AE956" s="2">
        <v>45926.5</v>
      </c>
      <c r="AF956" t="s">
        <v>60</v>
      </c>
    </row>
    <row r="957">
      <c r="A957" t="s">
        <v>1971</v>
      </c>
      <c r="B957" s="2">
        <v>45925.5</v>
      </c>
      <c r="C957" t="s">
        <v>49</v>
      </c>
      <c r="D957" t="s">
        <f>'客户档案'!B4</f>
        <v>50</v>
      </c>
      <c r="E957" t="s">
        <v>51</v>
      </c>
      <c r="F957" t="s">
        <v>52</v>
      </c>
      <c r="G957" t="s">
        <f>'商品目录'!B4</f>
        <v>53</v>
      </c>
      <c r="H957" t="s">
        <v>54</v>
      </c>
      <c r="I957">
        <v>10</v>
      </c>
      <c r="J957" s="4">
        <v>129</v>
      </c>
      <c r="K957" s="4">
        <f>I957*J957</f>
        <v>1290</v>
      </c>
      <c r="L957" s="3">
        <v>0.5</v>
      </c>
      <c r="M957" s="4">
        <f>K957*L957</f>
        <v>645</v>
      </c>
      <c r="N957" s="4">
        <v>10</v>
      </c>
      <c r="O957" s="4">
        <f>K957-M957+N957</f>
        <v>655</v>
      </c>
      <c r="P957" t="s">
        <v>43</v>
      </c>
      <c r="Q957" t="b">
        <v>1</v>
      </c>
      <c r="R957" t="s">
        <v>55</v>
      </c>
      <c r="S957" t="s">
        <v>56</v>
      </c>
      <c r="T957" t="s">
        <v>57</v>
      </c>
      <c r="U957" t="s">
        <v>51</v>
      </c>
      <c r="V957" t="s">
        <v>50</v>
      </c>
      <c r="W957" t="s">
        <v>1972</v>
      </c>
      <c r="X957" t="s">
        <v>59</v>
      </c>
      <c r="Y957">
        <v>9007199254741942</v>
      </c>
      <c r="Z957">
        <v>0</v>
      </c>
      <c r="AA957" t="s">
        <v>50</v>
      </c>
      <c r="AB957" t="b">
        <v>1</v>
      </c>
      <c r="AD957" s="3">
        <v>0.125</v>
      </c>
      <c r="AE957" s="2">
        <v>45927.5</v>
      </c>
      <c r="AF957" t="s">
        <v>60</v>
      </c>
    </row>
    <row r="958">
      <c r="A958" t="s">
        <v>1973</v>
      </c>
      <c r="B958" s="2">
        <v>45926.5</v>
      </c>
      <c r="C958" t="s">
        <v>62</v>
      </c>
      <c r="D958" t="s">
        <f>'客户档案'!B5</f>
        <v>63</v>
      </c>
      <c r="E958" t="s">
        <v>64</v>
      </c>
      <c r="F958" t="s">
        <v>65</v>
      </c>
      <c r="G958" t="s">
        <f>'商品目录'!B5</f>
        <v>66</v>
      </c>
      <c r="H958" t="s">
        <v>67</v>
      </c>
      <c r="I958">
        <v>2</v>
      </c>
      <c r="J958" s="4">
        <v>45</v>
      </c>
      <c r="K958" s="4">
        <f>I958*J958</f>
        <v>90</v>
      </c>
      <c r="L958" s="3">
        <v>0</v>
      </c>
      <c r="M958" s="4">
        <f>K958*L958</f>
        <v>0</v>
      </c>
      <c r="N958" s="4">
        <v>20</v>
      </c>
      <c r="O958" s="4">
        <f>K958-M958+N958</f>
        <v>110</v>
      </c>
      <c r="P958" t="s">
        <v>43</v>
      </c>
      <c r="Q958" t="b">
        <v>1</v>
      </c>
      <c r="R958" t="s">
        <v>55</v>
      </c>
      <c r="S958" t="s">
        <v>68</v>
      </c>
      <c r="T958" t="s">
        <v>69</v>
      </c>
      <c r="U958" t="s">
        <v>70</v>
      </c>
      <c r="V958" t="s">
        <v>63</v>
      </c>
      <c r="W958" t="s">
        <v>1974</v>
      </c>
      <c r="X958" t="s">
        <v>72</v>
      </c>
      <c r="Y958">
        <v>9007199254741943</v>
      </c>
      <c r="Z958">
        <v>0</v>
      </c>
      <c r="AA958" t="s">
        <v>63</v>
      </c>
      <c r="AB958" t="b">
        <v>0</v>
      </c>
      <c r="AD958" s="3">
        <v>0.125</v>
      </c>
      <c r="AE958" s="2">
        <v>45928.5</v>
      </c>
      <c r="AF958" t="s">
        <v>60</v>
      </c>
    </row>
    <row r="959">
      <c r="A959" t="s">
        <v>1975</v>
      </c>
      <c r="B959" s="2">
        <v>45927.5</v>
      </c>
      <c r="C959" t="s">
        <v>37</v>
      </c>
      <c r="D959" t="s">
        <f>'客户档案'!B3</f>
        <v>38</v>
      </c>
      <c r="E959" t="s">
        <v>74</v>
      </c>
      <c r="F959" t="s">
        <v>75</v>
      </c>
      <c r="G959" t="s">
        <f>'商品目录'!B6</f>
        <v>76</v>
      </c>
      <c r="H959" t="s">
        <v>77</v>
      </c>
      <c r="I959">
        <v>4</v>
      </c>
      <c r="J959" s="4">
        <v>8</v>
      </c>
      <c r="K959" s="4">
        <f>I959*J959</f>
        <v>32</v>
      </c>
      <c r="L959" s="3">
        <v>0.5</v>
      </c>
      <c r="M959" s="4">
        <f>K959*L959</f>
        <v>16</v>
      </c>
      <c r="N959" s="4">
        <v>0</v>
      </c>
      <c r="O959" s="4">
        <f>K959-M959+N959</f>
        <v>16</v>
      </c>
      <c r="P959" t="s">
        <v>43</v>
      </c>
      <c r="Q959" t="b">
        <v>1</v>
      </c>
      <c r="R959" t="s">
        <v>55</v>
      </c>
      <c r="S959" t="s">
        <v>45</v>
      </c>
      <c r="T959" t="s">
        <v>46</v>
      </c>
      <c r="U959" t="s">
        <v>78</v>
      </c>
      <c r="V959" t="s">
        <v>38</v>
      </c>
      <c r="W959" t="s">
        <v>1976</v>
      </c>
      <c r="X959" t="s">
        <v>80</v>
      </c>
      <c r="Y959">
        <v>9007199254741944</v>
      </c>
      <c r="Z959">
        <v>0</v>
      </c>
      <c r="AA959" t="s">
        <v>38</v>
      </c>
      <c r="AB959" t="b">
        <v>1</v>
      </c>
      <c r="AD959" s="3">
        <v>0.125</v>
      </c>
      <c r="AE959" s="2">
        <v>45929.5</v>
      </c>
      <c r="AF959" t="s">
        <v>60</v>
      </c>
    </row>
    <row r="960">
      <c r="A960" t="s">
        <v>1977</v>
      </c>
      <c r="B960" s="2">
        <v>45900.5</v>
      </c>
      <c r="C960" t="s">
        <v>49</v>
      </c>
      <c r="D960" t="s">
        <f>'客户档案'!B4</f>
        <v>50</v>
      </c>
      <c r="E960" t="s">
        <v>39</v>
      </c>
      <c r="F960" t="s">
        <v>40</v>
      </c>
      <c r="G960" t="s">
        <f>'商品目录'!B3</f>
        <v>41</v>
      </c>
      <c r="H960" t="s">
        <v>42</v>
      </c>
      <c r="I960">
        <v>6</v>
      </c>
      <c r="J960" s="4">
        <v>99</v>
      </c>
      <c r="K960" s="4">
        <f>I960*J960</f>
        <v>594</v>
      </c>
      <c r="L960" s="3">
        <v>0</v>
      </c>
      <c r="M960" s="4">
        <f>K960*L960</f>
        <v>0</v>
      </c>
      <c r="N960" s="4">
        <v>10</v>
      </c>
      <c r="O960" s="4">
        <f>K960-M960+N960</f>
        <v>604</v>
      </c>
      <c r="P960" t="s">
        <v>43</v>
      </c>
      <c r="Q960" t="b">
        <v>0</v>
      </c>
      <c r="R960" t="s">
        <v>44</v>
      </c>
      <c r="S960" t="s">
        <v>56</v>
      </c>
      <c r="T960" t="s">
        <v>57</v>
      </c>
      <c r="U960" t="s">
        <v>39</v>
      </c>
      <c r="V960" t="s">
        <v>50</v>
      </c>
      <c r="W960" t="s">
        <v>1978</v>
      </c>
      <c r="X960" t="s">
        <v>0</v>
      </c>
      <c r="Y960">
        <v>9007199254741945</v>
      </c>
      <c r="Z960">
        <v>2</v>
      </c>
      <c r="AA960" t="s">
        <v>50</v>
      </c>
      <c r="AB960" t="b">
        <v>0</v>
      </c>
      <c r="AD960" s="3">
        <v>0.125</v>
      </c>
      <c r="AE960" s="2">
        <v>45902.5</v>
      </c>
      <c r="AF960" t="s">
        <v>60</v>
      </c>
    </row>
    <row r="961">
      <c r="A961" t="s">
        <v>1979</v>
      </c>
      <c r="B961" s="2">
        <v>45901.5</v>
      </c>
      <c r="C961" t="s">
        <v>62</v>
      </c>
      <c r="D961" t="s">
        <f>'客户档案'!B5</f>
        <v>63</v>
      </c>
      <c r="E961" t="s">
        <v>51</v>
      </c>
      <c r="F961" t="s">
        <v>52</v>
      </c>
      <c r="G961" t="s">
        <f>'商品目录'!B4</f>
        <v>53</v>
      </c>
      <c r="H961" t="s">
        <v>54</v>
      </c>
      <c r="I961">
        <v>8</v>
      </c>
      <c r="J961" s="4">
        <v>129</v>
      </c>
      <c r="K961" s="4">
        <f>I961*J961</f>
        <v>1032</v>
      </c>
      <c r="L961" s="3">
        <v>0.5</v>
      </c>
      <c r="M961" s="4">
        <f>K961*L961</f>
        <v>516</v>
      </c>
      <c r="N961" s="4">
        <v>20</v>
      </c>
      <c r="O961" s="4">
        <f>K961-M961+N961</f>
        <v>536</v>
      </c>
      <c r="P961" t="s">
        <v>43</v>
      </c>
      <c r="Q961" t="b">
        <v>1</v>
      </c>
      <c r="R961" t="s">
        <v>55</v>
      </c>
      <c r="S961" t="s">
        <v>68</v>
      </c>
      <c r="T961" t="s">
        <v>69</v>
      </c>
      <c r="U961" t="s">
        <v>51</v>
      </c>
      <c r="V961" t="s">
        <v>63</v>
      </c>
      <c r="W961" t="s">
        <v>1980</v>
      </c>
      <c r="X961" t="s">
        <v>59</v>
      </c>
      <c r="Y961">
        <v>9007199254741946</v>
      </c>
      <c r="Z961">
        <v>0</v>
      </c>
      <c r="AA961" t="s">
        <v>63</v>
      </c>
      <c r="AB961" t="b">
        <v>1</v>
      </c>
      <c r="AD961" s="3">
        <v>0.125</v>
      </c>
      <c r="AE961" s="2">
        <v>45903.5</v>
      </c>
      <c r="AF961" t="s">
        <v>60</v>
      </c>
    </row>
    <row r="962">
      <c r="A962" t="s">
        <v>1981</v>
      </c>
      <c r="B962" s="2">
        <v>45902.5</v>
      </c>
      <c r="C962" t="s">
        <v>37</v>
      </c>
      <c r="D962" t="s">
        <f>'客户档案'!B3</f>
        <v>38</v>
      </c>
      <c r="E962" t="s">
        <v>64</v>
      </c>
      <c r="F962" t="s">
        <v>65</v>
      </c>
      <c r="G962" t="s">
        <f>'商品目录'!B5</f>
        <v>66</v>
      </c>
      <c r="H962" t="s">
        <v>67</v>
      </c>
      <c r="I962">
        <v>10</v>
      </c>
      <c r="J962" s="4">
        <v>45</v>
      </c>
      <c r="K962" s="4">
        <f>I962*J962</f>
        <v>450</v>
      </c>
      <c r="L962" s="3">
        <v>0</v>
      </c>
      <c r="M962" s="4">
        <f>K962*L962</f>
        <v>0</v>
      </c>
      <c r="N962" s="4">
        <v>0</v>
      </c>
      <c r="O962" s="4">
        <f>K962-M962+N962</f>
        <v>450</v>
      </c>
      <c r="P962" t="s">
        <v>43</v>
      </c>
      <c r="Q962" t="b">
        <v>1</v>
      </c>
      <c r="R962" t="s">
        <v>55</v>
      </c>
      <c r="S962" t="s">
        <v>45</v>
      </c>
      <c r="T962" t="s">
        <v>46</v>
      </c>
      <c r="U962" t="s">
        <v>70</v>
      </c>
      <c r="V962" t="s">
        <v>38</v>
      </c>
      <c r="W962" t="s">
        <v>1982</v>
      </c>
      <c r="X962" t="s">
        <v>72</v>
      </c>
      <c r="Y962">
        <v>9007199254741947</v>
      </c>
      <c r="Z962">
        <v>0</v>
      </c>
      <c r="AA962" t="s">
        <v>38</v>
      </c>
      <c r="AB962" t="b">
        <v>0</v>
      </c>
      <c r="AD962" s="3">
        <v>0.125</v>
      </c>
      <c r="AE962" s="2">
        <v>45904.5</v>
      </c>
      <c r="AF962" t="s">
        <v>60</v>
      </c>
    </row>
    <row r="963">
      <c r="A963" t="s">
        <v>1983</v>
      </c>
      <c r="B963" s="2">
        <v>45903.5</v>
      </c>
      <c r="C963" t="s">
        <v>49</v>
      </c>
      <c r="D963" t="s">
        <f>'客户档案'!B4</f>
        <v>50</v>
      </c>
      <c r="E963" t="s">
        <v>74</v>
      </c>
      <c r="F963" t="s">
        <v>75</v>
      </c>
      <c r="G963" t="s">
        <f>'商品目录'!B6</f>
        <v>76</v>
      </c>
      <c r="H963" t="s">
        <v>77</v>
      </c>
      <c r="I963">
        <v>2</v>
      </c>
      <c r="J963" s="4">
        <v>8</v>
      </c>
      <c r="K963" s="4">
        <f>I963*J963</f>
        <v>16</v>
      </c>
      <c r="L963" s="3">
        <v>0.5</v>
      </c>
      <c r="M963" s="4">
        <f>K963*L963</f>
        <v>8</v>
      </c>
      <c r="N963" s="4">
        <v>10</v>
      </c>
      <c r="O963" s="4">
        <f>K963-M963+N963</f>
        <v>18</v>
      </c>
      <c r="P963" t="s">
        <v>43</v>
      </c>
      <c r="Q963" t="b">
        <v>1</v>
      </c>
      <c r="R963" t="s">
        <v>55</v>
      </c>
      <c r="S963" t="s">
        <v>56</v>
      </c>
      <c r="T963" t="s">
        <v>57</v>
      </c>
      <c r="U963" t="s">
        <v>78</v>
      </c>
      <c r="V963" t="s">
        <v>50</v>
      </c>
      <c r="W963" t="s">
        <v>1984</v>
      </c>
      <c r="X963" t="s">
        <v>80</v>
      </c>
      <c r="Y963">
        <v>9007199254741948</v>
      </c>
      <c r="Z963">
        <v>0</v>
      </c>
      <c r="AA963" t="s">
        <v>50</v>
      </c>
      <c r="AB963" t="b">
        <v>1</v>
      </c>
      <c r="AD963" s="3">
        <v>0.125</v>
      </c>
      <c r="AE963" s="2">
        <v>45905.5</v>
      </c>
      <c r="AF963" t="s">
        <v>60</v>
      </c>
    </row>
    <row r="964">
      <c r="A964" t="s">
        <v>1985</v>
      </c>
      <c r="B964" s="2">
        <v>45904.5</v>
      </c>
      <c r="C964" t="s">
        <v>62</v>
      </c>
      <c r="D964" t="s">
        <f>'客户档案'!B5</f>
        <v>63</v>
      </c>
      <c r="E964" t="s">
        <v>39</v>
      </c>
      <c r="F964" t="s">
        <v>40</v>
      </c>
      <c r="G964" t="s">
        <f>'商品目录'!B3</f>
        <v>41</v>
      </c>
      <c r="H964" t="s">
        <v>42</v>
      </c>
      <c r="I964">
        <v>4</v>
      </c>
      <c r="J964" s="4">
        <v>99</v>
      </c>
      <c r="K964" s="4">
        <f>I964*J964</f>
        <v>396</v>
      </c>
      <c r="L964" s="3">
        <v>0</v>
      </c>
      <c r="M964" s="4">
        <f>K964*L964</f>
        <v>0</v>
      </c>
      <c r="N964" s="4">
        <v>20</v>
      </c>
      <c r="O964" s="4">
        <f>K964-M964+N964</f>
        <v>416</v>
      </c>
      <c r="P964" t="s">
        <v>43</v>
      </c>
      <c r="Q964" t="b">
        <v>0</v>
      </c>
      <c r="R964" t="s">
        <v>44</v>
      </c>
      <c r="S964" t="s">
        <v>68</v>
      </c>
      <c r="T964" t="s">
        <v>69</v>
      </c>
      <c r="U964" t="s">
        <v>39</v>
      </c>
      <c r="V964" t="s">
        <v>63</v>
      </c>
      <c r="W964" t="s">
        <v>1986</v>
      </c>
      <c r="X964" t="s">
        <v>0</v>
      </c>
      <c r="Y964">
        <v>9007199254741949</v>
      </c>
      <c r="Z964">
        <v>0</v>
      </c>
      <c r="AA964" t="s">
        <v>63</v>
      </c>
      <c r="AB964" t="b">
        <v>0</v>
      </c>
      <c r="AD964" s="3">
        <v>0.125</v>
      </c>
      <c r="AE964" s="2">
        <v>45906.5</v>
      </c>
      <c r="AF964" t="s">
        <v>60</v>
      </c>
    </row>
    <row r="965">
      <c r="A965" t="s">
        <v>1987</v>
      </c>
      <c r="B965" s="2">
        <v>45905.5</v>
      </c>
      <c r="C965" t="s">
        <v>37</v>
      </c>
      <c r="D965" t="s">
        <f>'客户档案'!B3</f>
        <v>38</v>
      </c>
      <c r="E965" t="s">
        <v>51</v>
      </c>
      <c r="F965" t="s">
        <v>52</v>
      </c>
      <c r="G965" t="s">
        <f>'商品目录'!B4</f>
        <v>53</v>
      </c>
      <c r="H965" t="s">
        <v>54</v>
      </c>
      <c r="I965">
        <v>6</v>
      </c>
      <c r="J965" s="4">
        <v>129</v>
      </c>
      <c r="K965" s="4">
        <f>I965*J965</f>
        <v>774</v>
      </c>
      <c r="L965" s="3">
        <v>0.5</v>
      </c>
      <c r="M965" s="4">
        <f>K965*L965</f>
        <v>387</v>
      </c>
      <c r="N965" s="4">
        <v>0</v>
      </c>
      <c r="O965" s="4">
        <f>K965-M965+N965</f>
        <v>387</v>
      </c>
      <c r="P965" t="s">
        <v>43</v>
      </c>
      <c r="Q965" t="b">
        <v>1</v>
      </c>
      <c r="R965" t="s">
        <v>55</v>
      </c>
      <c r="S965" t="s">
        <v>45</v>
      </c>
      <c r="T965" t="s">
        <v>46</v>
      </c>
      <c r="U965" t="s">
        <v>51</v>
      </c>
      <c r="V965" t="s">
        <v>38</v>
      </c>
      <c r="W965" t="s">
        <v>1988</v>
      </c>
      <c r="X965" t="s">
        <v>59</v>
      </c>
      <c r="Y965">
        <v>9007199254741950</v>
      </c>
      <c r="Z965">
        <v>0</v>
      </c>
      <c r="AA965" t="s">
        <v>38</v>
      </c>
      <c r="AB965" t="b">
        <v>1</v>
      </c>
      <c r="AD965" s="3">
        <v>0.125</v>
      </c>
      <c r="AE965" s="2">
        <v>45907.5</v>
      </c>
      <c r="AF965" t="s">
        <v>60</v>
      </c>
    </row>
    <row r="966">
      <c r="A966" t="s">
        <v>1989</v>
      </c>
      <c r="B966" s="2">
        <v>45906.5</v>
      </c>
      <c r="C966" t="s">
        <v>49</v>
      </c>
      <c r="D966" t="s">
        <f>'客户档案'!B4</f>
        <v>50</v>
      </c>
      <c r="E966" t="s">
        <v>64</v>
      </c>
      <c r="F966" t="s">
        <v>65</v>
      </c>
      <c r="G966" t="s">
        <f>'商品目录'!B5</f>
        <v>66</v>
      </c>
      <c r="H966" t="s">
        <v>67</v>
      </c>
      <c r="I966">
        <v>8</v>
      </c>
      <c r="J966" s="4">
        <v>45</v>
      </c>
      <c r="K966" s="4">
        <f>I966*J966</f>
        <v>360</v>
      </c>
      <c r="L966" s="3">
        <v>0</v>
      </c>
      <c r="M966" s="4">
        <f>K966*L966</f>
        <v>0</v>
      </c>
      <c r="N966" s="4">
        <v>10</v>
      </c>
      <c r="O966" s="4">
        <f>K966-M966+N966</f>
        <v>370</v>
      </c>
      <c r="P966" t="s">
        <v>43</v>
      </c>
      <c r="Q966" t="b">
        <v>1</v>
      </c>
      <c r="R966" t="s">
        <v>55</v>
      </c>
      <c r="S966" t="s">
        <v>56</v>
      </c>
      <c r="T966" t="s">
        <v>57</v>
      </c>
      <c r="U966" t="s">
        <v>70</v>
      </c>
      <c r="V966" t="s">
        <v>50</v>
      </c>
      <c r="W966" t="s">
        <v>1990</v>
      </c>
      <c r="X966" t="s">
        <v>72</v>
      </c>
      <c r="Y966">
        <v>9007199254741951</v>
      </c>
      <c r="Z966">
        <v>0</v>
      </c>
      <c r="AA966" t="s">
        <v>50</v>
      </c>
      <c r="AB966" t="b">
        <v>0</v>
      </c>
      <c r="AD966" s="3">
        <v>0.125</v>
      </c>
      <c r="AE966" s="2">
        <v>45908.5</v>
      </c>
      <c r="AF966" t="s">
        <v>60</v>
      </c>
    </row>
    <row r="967">
      <c r="A967" t="s">
        <v>1991</v>
      </c>
      <c r="B967" s="2">
        <v>45907.5</v>
      </c>
      <c r="C967" t="s">
        <v>62</v>
      </c>
      <c r="D967" t="s">
        <f>'客户档案'!B5</f>
        <v>63</v>
      </c>
      <c r="E967" t="s">
        <v>74</v>
      </c>
      <c r="F967" t="s">
        <v>75</v>
      </c>
      <c r="G967" t="s">
        <f>'商品目录'!B6</f>
        <v>76</v>
      </c>
      <c r="H967" t="s">
        <v>77</v>
      </c>
      <c r="I967">
        <v>10</v>
      </c>
      <c r="J967" s="4">
        <v>8</v>
      </c>
      <c r="K967" s="4">
        <f>I967*J967</f>
        <v>80</v>
      </c>
      <c r="L967" s="3">
        <v>0.5</v>
      </c>
      <c r="M967" s="4">
        <f>K967*L967</f>
        <v>40</v>
      </c>
      <c r="N967" s="4">
        <v>20</v>
      </c>
      <c r="O967" s="4">
        <f>K967-M967+N967</f>
        <v>60</v>
      </c>
      <c r="P967" t="s">
        <v>43</v>
      </c>
      <c r="Q967" t="b">
        <v>1</v>
      </c>
      <c r="R967" t="s">
        <v>55</v>
      </c>
      <c r="S967" t="s">
        <v>68</v>
      </c>
      <c r="T967" t="s">
        <v>69</v>
      </c>
      <c r="U967" t="s">
        <v>78</v>
      </c>
      <c r="V967" t="s">
        <v>63</v>
      </c>
      <c r="W967" t="s">
        <v>1992</v>
      </c>
      <c r="X967" t="s">
        <v>80</v>
      </c>
      <c r="Y967">
        <v>9007199254741952</v>
      </c>
      <c r="Z967">
        <v>0</v>
      </c>
      <c r="AA967" t="s">
        <v>63</v>
      </c>
      <c r="AB967" t="b">
        <v>1</v>
      </c>
      <c r="AD967" s="3">
        <v>0.125</v>
      </c>
      <c r="AE967" s="2">
        <v>45909.5</v>
      </c>
      <c r="AF967" t="s">
        <v>60</v>
      </c>
    </row>
    <row r="968">
      <c r="A968" t="s">
        <v>1993</v>
      </c>
      <c r="B968" s="2">
        <v>45908.5</v>
      </c>
      <c r="C968" t="s">
        <v>37</v>
      </c>
      <c r="D968" t="s">
        <f>'客户档案'!B3</f>
        <v>38</v>
      </c>
      <c r="E968" t="s">
        <v>39</v>
      </c>
      <c r="F968" t="s">
        <v>40</v>
      </c>
      <c r="G968" t="s">
        <f>'商品目录'!B3</f>
        <v>41</v>
      </c>
      <c r="H968" t="s">
        <v>42</v>
      </c>
      <c r="I968">
        <v>2</v>
      </c>
      <c r="J968" s="4">
        <v>99</v>
      </c>
      <c r="K968" s="4">
        <f>I968*J968</f>
        <v>198</v>
      </c>
      <c r="L968" s="3">
        <v>0</v>
      </c>
      <c r="M968" s="4">
        <f>K968*L968</f>
        <v>0</v>
      </c>
      <c r="N968" s="4">
        <v>0</v>
      </c>
      <c r="O968" s="4">
        <f>K968-M968+N968</f>
        <v>198</v>
      </c>
      <c r="P968" t="s">
        <v>43</v>
      </c>
      <c r="Q968" t="b">
        <v>0</v>
      </c>
      <c r="R968" t="s">
        <v>44</v>
      </c>
      <c r="S968" t="s">
        <v>45</v>
      </c>
      <c r="T968" t="s">
        <v>46</v>
      </c>
      <c r="U968" t="s">
        <v>39</v>
      </c>
      <c r="V968" t="s">
        <v>38</v>
      </c>
      <c r="W968" t="s">
        <v>1994</v>
      </c>
      <c r="X968" t="s">
        <v>0</v>
      </c>
      <c r="Y968">
        <v>9007199254741953</v>
      </c>
      <c r="Z968">
        <v>0</v>
      </c>
      <c r="AA968" t="s">
        <v>38</v>
      </c>
      <c r="AB968" t="b">
        <v>0</v>
      </c>
      <c r="AD968" s="3">
        <v>0.125</v>
      </c>
      <c r="AE968" s="2">
        <v>45910.5</v>
      </c>
      <c r="AF968" t="s">
        <v>60</v>
      </c>
    </row>
    <row r="969">
      <c r="A969" t="s">
        <v>1995</v>
      </c>
      <c r="B969" s="2">
        <v>45909.5</v>
      </c>
      <c r="C969" t="s">
        <v>49</v>
      </c>
      <c r="D969" t="s">
        <f>'客户档案'!B4</f>
        <v>50</v>
      </c>
      <c r="E969" t="s">
        <v>51</v>
      </c>
      <c r="F969" t="s">
        <v>52</v>
      </c>
      <c r="G969" t="s">
        <f>'商品目录'!B4</f>
        <v>53</v>
      </c>
      <c r="H969" t="s">
        <v>54</v>
      </c>
      <c r="I969">
        <v>4</v>
      </c>
      <c r="J969" s="4">
        <v>129</v>
      </c>
      <c r="K969" s="4">
        <f>I969*J969</f>
        <v>516</v>
      </c>
      <c r="L969" s="3">
        <v>0.5</v>
      </c>
      <c r="M969" s="4">
        <f>K969*L969</f>
        <v>258</v>
      </c>
      <c r="N969" s="4">
        <v>10</v>
      </c>
      <c r="O969" s="4">
        <f>K969-M969+N969</f>
        <v>268</v>
      </c>
      <c r="P969" t="s">
        <v>43</v>
      </c>
      <c r="Q969" t="b">
        <v>1</v>
      </c>
      <c r="R969" t="s">
        <v>55</v>
      </c>
      <c r="S969" t="s">
        <v>56</v>
      </c>
      <c r="T969" t="s">
        <v>57</v>
      </c>
      <c r="U969" t="s">
        <v>51</v>
      </c>
      <c r="V969" t="s">
        <v>50</v>
      </c>
      <c r="W969" t="s">
        <v>1996</v>
      </c>
      <c r="X969" t="s">
        <v>59</v>
      </c>
      <c r="Y969">
        <v>9007199254741954</v>
      </c>
      <c r="Z969">
        <v>0</v>
      </c>
      <c r="AA969" t="s">
        <v>50</v>
      </c>
      <c r="AB969" t="b">
        <v>1</v>
      </c>
      <c r="AD969" s="3">
        <v>0.125</v>
      </c>
      <c r="AE969" s="2">
        <v>45911.5</v>
      </c>
      <c r="AF969" t="s">
        <v>60</v>
      </c>
    </row>
    <row r="970">
      <c r="A970" t="s">
        <v>1997</v>
      </c>
      <c r="B970" s="2">
        <v>45910.5</v>
      </c>
      <c r="C970" t="s">
        <v>62</v>
      </c>
      <c r="D970" t="s">
        <f>'客户档案'!B5</f>
        <v>63</v>
      </c>
      <c r="E970" t="s">
        <v>64</v>
      </c>
      <c r="F970" t="s">
        <v>65</v>
      </c>
      <c r="G970" t="s">
        <f>'商品目录'!B5</f>
        <v>66</v>
      </c>
      <c r="H970" t="s">
        <v>67</v>
      </c>
      <c r="I970">
        <v>6</v>
      </c>
      <c r="J970" s="4">
        <v>45</v>
      </c>
      <c r="K970" s="4">
        <f>I970*J970</f>
        <v>270</v>
      </c>
      <c r="L970" s="3">
        <v>0</v>
      </c>
      <c r="M970" s="4">
        <f>K970*L970</f>
        <v>0</v>
      </c>
      <c r="N970" s="4">
        <v>20</v>
      </c>
      <c r="O970" s="4">
        <f>K970-M970+N970</f>
        <v>290</v>
      </c>
      <c r="P970" t="s">
        <v>43</v>
      </c>
      <c r="Q970" t="b">
        <v>1</v>
      </c>
      <c r="R970" t="s">
        <v>55</v>
      </c>
      <c r="S970" t="s">
        <v>68</v>
      </c>
      <c r="T970" t="s">
        <v>69</v>
      </c>
      <c r="U970" t="s">
        <v>70</v>
      </c>
      <c r="V970" t="s">
        <v>63</v>
      </c>
      <c r="W970" t="s">
        <v>1998</v>
      </c>
      <c r="X970" t="s">
        <v>72</v>
      </c>
      <c r="Y970">
        <v>9007199254741955</v>
      </c>
      <c r="Z970">
        <v>0</v>
      </c>
      <c r="AA970" t="s">
        <v>63</v>
      </c>
      <c r="AB970" t="b">
        <v>0</v>
      </c>
      <c r="AD970" s="3">
        <v>0.125</v>
      </c>
      <c r="AE970" s="2">
        <v>45912.5</v>
      </c>
      <c r="AF970" t="s">
        <v>60</v>
      </c>
    </row>
    <row r="971">
      <c r="A971" t="s">
        <v>1999</v>
      </c>
      <c r="B971" s="2">
        <v>45911.5</v>
      </c>
      <c r="C971" t="s">
        <v>37</v>
      </c>
      <c r="D971" t="s">
        <f>'客户档案'!B3</f>
        <v>38</v>
      </c>
      <c r="E971" t="s">
        <v>74</v>
      </c>
      <c r="F971" t="s">
        <v>75</v>
      </c>
      <c r="G971" t="s">
        <f>'商品目录'!B6</f>
        <v>76</v>
      </c>
      <c r="H971" t="s">
        <v>77</v>
      </c>
      <c r="I971">
        <v>8</v>
      </c>
      <c r="J971" s="4">
        <v>8</v>
      </c>
      <c r="K971" s="4">
        <f>I971*J971</f>
        <v>64</v>
      </c>
      <c r="L971" s="3">
        <v>0.5</v>
      </c>
      <c r="M971" s="4">
        <f>K971*L971</f>
        <v>32</v>
      </c>
      <c r="N971" s="4">
        <v>0</v>
      </c>
      <c r="O971" s="4">
        <f>K971-M971+N971</f>
        <v>32</v>
      </c>
      <c r="P971" t="s">
        <v>43</v>
      </c>
      <c r="Q971" t="b">
        <v>1</v>
      </c>
      <c r="R971" t="s">
        <v>55</v>
      </c>
      <c r="S971" t="s">
        <v>45</v>
      </c>
      <c r="T971" t="s">
        <v>46</v>
      </c>
      <c r="U971" t="s">
        <v>78</v>
      </c>
      <c r="V971" t="s">
        <v>38</v>
      </c>
      <c r="W971" t="s">
        <v>2000</v>
      </c>
      <c r="X971" t="s">
        <v>80</v>
      </c>
      <c r="Y971">
        <v>9007199254741956</v>
      </c>
      <c r="Z971">
        <v>0</v>
      </c>
      <c r="AA971" t="s">
        <v>38</v>
      </c>
      <c r="AB971" t="b">
        <v>1</v>
      </c>
      <c r="AD971" s="3">
        <v>0.125</v>
      </c>
      <c r="AE971" s="2">
        <v>45913.5</v>
      </c>
      <c r="AF971" t="s">
        <v>60</v>
      </c>
    </row>
    <row r="972">
      <c r="A972" t="s">
        <v>2001</v>
      </c>
      <c r="B972" s="2">
        <v>45912.5</v>
      </c>
      <c r="C972" t="s">
        <v>49</v>
      </c>
      <c r="D972" t="s">
        <f>'客户档案'!B4</f>
        <v>50</v>
      </c>
      <c r="E972" t="s">
        <v>39</v>
      </c>
      <c r="F972" t="s">
        <v>40</v>
      </c>
      <c r="G972" t="s">
        <f>'商品目录'!B3</f>
        <v>41</v>
      </c>
      <c r="H972" t="s">
        <v>42</v>
      </c>
      <c r="I972">
        <v>10</v>
      </c>
      <c r="J972" s="4">
        <v>99</v>
      </c>
      <c r="K972" s="4">
        <f>I972*J972</f>
        <v>990</v>
      </c>
      <c r="L972" s="3">
        <v>0</v>
      </c>
      <c r="M972" s="4">
        <f>K972*L972</f>
        <v>0</v>
      </c>
      <c r="N972" s="4">
        <v>10</v>
      </c>
      <c r="O972" s="4">
        <f>K972-M972+N972</f>
        <v>1000</v>
      </c>
      <c r="P972" t="s">
        <v>43</v>
      </c>
      <c r="Q972" t="b">
        <v>0</v>
      </c>
      <c r="R972" t="s">
        <v>44</v>
      </c>
      <c r="S972" t="s">
        <v>56</v>
      </c>
      <c r="T972" t="s">
        <v>57</v>
      </c>
      <c r="U972" t="s">
        <v>39</v>
      </c>
      <c r="V972" t="s">
        <v>50</v>
      </c>
      <c r="W972" t="s">
        <v>2002</v>
      </c>
      <c r="X972" t="s">
        <v>0</v>
      </c>
      <c r="Y972">
        <v>9007199254741957</v>
      </c>
      <c r="Z972">
        <v>0</v>
      </c>
      <c r="AA972" t="s">
        <v>50</v>
      </c>
      <c r="AB972" t="b">
        <v>0</v>
      </c>
      <c r="AD972" s="3">
        <v>0.125</v>
      </c>
      <c r="AE972" s="2">
        <v>45914.5</v>
      </c>
      <c r="AF972" t="s">
        <v>60</v>
      </c>
    </row>
    <row r="973">
      <c r="A973" t="s">
        <v>2003</v>
      </c>
      <c r="B973" s="2">
        <v>45913.5</v>
      </c>
      <c r="C973" t="s">
        <v>62</v>
      </c>
      <c r="D973" t="s">
        <f>'客户档案'!B5</f>
        <v>63</v>
      </c>
      <c r="E973" t="s">
        <v>51</v>
      </c>
      <c r="F973" t="s">
        <v>52</v>
      </c>
      <c r="G973" t="s">
        <f>'商品目录'!B4</f>
        <v>53</v>
      </c>
      <c r="H973" t="s">
        <v>54</v>
      </c>
      <c r="I973">
        <v>2</v>
      </c>
      <c r="J973" s="4">
        <v>129</v>
      </c>
      <c r="K973" s="4">
        <f>I973*J973</f>
        <v>258</v>
      </c>
      <c r="L973" s="3">
        <v>0.5</v>
      </c>
      <c r="M973" s="4">
        <f>K973*L973</f>
        <v>129</v>
      </c>
      <c r="N973" s="4">
        <v>20</v>
      </c>
      <c r="O973" s="4">
        <f>K973-M973+N973</f>
        <v>149</v>
      </c>
      <c r="P973" t="s">
        <v>43</v>
      </c>
      <c r="Q973" t="b">
        <v>1</v>
      </c>
      <c r="R973" t="s">
        <v>55</v>
      </c>
      <c r="S973" t="s">
        <v>68</v>
      </c>
      <c r="T973" t="s">
        <v>69</v>
      </c>
      <c r="U973" t="s">
        <v>51</v>
      </c>
      <c r="V973" t="s">
        <v>63</v>
      </c>
      <c r="W973" t="s">
        <v>2004</v>
      </c>
      <c r="X973" t="s">
        <v>59</v>
      </c>
      <c r="Y973">
        <v>9007199254741958</v>
      </c>
      <c r="Z973">
        <v>0</v>
      </c>
      <c r="AA973" t="s">
        <v>63</v>
      </c>
      <c r="AB973" t="b">
        <v>1</v>
      </c>
      <c r="AD973" s="3">
        <v>0.125</v>
      </c>
      <c r="AE973" s="2">
        <v>45915.5</v>
      </c>
      <c r="AF973" t="s">
        <v>60</v>
      </c>
    </row>
    <row r="974">
      <c r="A974" t="s">
        <v>2005</v>
      </c>
      <c r="B974" s="2">
        <v>45914.5</v>
      </c>
      <c r="C974" t="s">
        <v>37</v>
      </c>
      <c r="D974" t="s">
        <f>'客户档案'!B3</f>
        <v>38</v>
      </c>
      <c r="E974" t="s">
        <v>64</v>
      </c>
      <c r="F974" t="s">
        <v>65</v>
      </c>
      <c r="G974" t="s">
        <f>'商品目录'!B5</f>
        <v>66</v>
      </c>
      <c r="H974" t="s">
        <v>67</v>
      </c>
      <c r="I974">
        <v>4</v>
      </c>
      <c r="J974" s="4">
        <v>45</v>
      </c>
      <c r="K974" s="4">
        <f>I974*J974</f>
        <v>180</v>
      </c>
      <c r="L974" s="3">
        <v>0</v>
      </c>
      <c r="M974" s="4">
        <f>K974*L974</f>
        <v>0</v>
      </c>
      <c r="N974" s="4">
        <v>0</v>
      </c>
      <c r="O974" s="4">
        <f>K974-M974+N974</f>
        <v>180</v>
      </c>
      <c r="P974" t="s">
        <v>43</v>
      </c>
      <c r="Q974" t="b">
        <v>1</v>
      </c>
      <c r="R974" t="s">
        <v>55</v>
      </c>
      <c r="S974" t="s">
        <v>45</v>
      </c>
      <c r="T974" t="s">
        <v>46</v>
      </c>
      <c r="U974" t="s">
        <v>70</v>
      </c>
      <c r="V974" t="s">
        <v>38</v>
      </c>
      <c r="W974" t="s">
        <v>2006</v>
      </c>
      <c r="X974" t="s">
        <v>72</v>
      </c>
      <c r="Y974">
        <v>9007199254741959</v>
      </c>
      <c r="Z974">
        <v>0</v>
      </c>
      <c r="AA974" t="s">
        <v>38</v>
      </c>
      <c r="AB974" t="b">
        <v>0</v>
      </c>
      <c r="AD974" s="3">
        <v>0.125</v>
      </c>
      <c r="AE974" s="2">
        <v>45916.5</v>
      </c>
      <c r="AF974" t="s">
        <v>60</v>
      </c>
    </row>
    <row r="975">
      <c r="A975" t="s">
        <v>2007</v>
      </c>
      <c r="B975" s="2">
        <v>45915.5</v>
      </c>
      <c r="C975" t="s">
        <v>49</v>
      </c>
      <c r="D975" t="s">
        <f>'客户档案'!B4</f>
        <v>50</v>
      </c>
      <c r="E975" t="s">
        <v>74</v>
      </c>
      <c r="F975" t="s">
        <v>75</v>
      </c>
      <c r="G975" t="s">
        <f>'商品目录'!B6</f>
        <v>76</v>
      </c>
      <c r="H975" t="s">
        <v>77</v>
      </c>
      <c r="I975">
        <v>6</v>
      </c>
      <c r="J975" s="4">
        <v>8</v>
      </c>
      <c r="K975" s="4">
        <f>I975*J975</f>
        <v>48</v>
      </c>
      <c r="L975" s="3">
        <v>0.5</v>
      </c>
      <c r="M975" s="4">
        <f>K975*L975</f>
        <v>24</v>
      </c>
      <c r="N975" s="4">
        <v>10</v>
      </c>
      <c r="O975" s="4">
        <f>K975-M975+N975</f>
        <v>34</v>
      </c>
      <c r="P975" t="s">
        <v>43</v>
      </c>
      <c r="Q975" t="b">
        <v>1</v>
      </c>
      <c r="R975" t="s">
        <v>55</v>
      </c>
      <c r="S975" t="s">
        <v>56</v>
      </c>
      <c r="T975" t="s">
        <v>57</v>
      </c>
      <c r="U975" t="s">
        <v>78</v>
      </c>
      <c r="V975" t="s">
        <v>50</v>
      </c>
      <c r="W975" t="s">
        <v>2008</v>
      </c>
      <c r="X975" t="s">
        <v>80</v>
      </c>
      <c r="Y975">
        <v>9007199254741960</v>
      </c>
      <c r="Z975">
        <v>0</v>
      </c>
      <c r="AA975" t="s">
        <v>50</v>
      </c>
      <c r="AB975" t="b">
        <v>1</v>
      </c>
      <c r="AD975" s="3">
        <v>0.125</v>
      </c>
      <c r="AE975" s="2">
        <v>45917.5</v>
      </c>
      <c r="AF975" t="s">
        <v>60</v>
      </c>
    </row>
    <row r="976">
      <c r="A976" t="s">
        <v>2009</v>
      </c>
      <c r="B976" s="2">
        <v>45916.5</v>
      </c>
      <c r="C976" t="s">
        <v>62</v>
      </c>
      <c r="D976" t="s">
        <f>'客户档案'!B5</f>
        <v>63</v>
      </c>
      <c r="E976" t="s">
        <v>39</v>
      </c>
      <c r="F976" t="s">
        <v>40</v>
      </c>
      <c r="G976" t="s">
        <f>'商品目录'!B3</f>
        <v>41</v>
      </c>
      <c r="H976" t="s">
        <v>42</v>
      </c>
      <c r="I976">
        <v>8</v>
      </c>
      <c r="J976" s="4">
        <v>99</v>
      </c>
      <c r="K976" s="4">
        <f>I976*J976</f>
        <v>792</v>
      </c>
      <c r="L976" s="3">
        <v>0</v>
      </c>
      <c r="M976" s="4">
        <f>K976*L976</f>
        <v>0</v>
      </c>
      <c r="N976" s="4">
        <v>20</v>
      </c>
      <c r="O976" s="4">
        <f>K976-M976+N976</f>
        <v>812</v>
      </c>
      <c r="P976" t="s">
        <v>43</v>
      </c>
      <c r="Q976" t="b">
        <v>0</v>
      </c>
      <c r="R976" t="s">
        <v>44</v>
      </c>
      <c r="S976" t="s">
        <v>68</v>
      </c>
      <c r="T976" t="s">
        <v>69</v>
      </c>
      <c r="U976" t="s">
        <v>39</v>
      </c>
      <c r="V976" t="s">
        <v>63</v>
      </c>
      <c r="W976" t="s">
        <v>2010</v>
      </c>
      <c r="X976" t="s">
        <v>0</v>
      </c>
      <c r="Y976">
        <v>9007199254741961</v>
      </c>
      <c r="Z976">
        <v>0</v>
      </c>
      <c r="AA976" t="s">
        <v>63</v>
      </c>
      <c r="AB976" t="b">
        <v>0</v>
      </c>
      <c r="AD976" s="3">
        <v>0.125</v>
      </c>
      <c r="AE976" s="2">
        <v>45918.5</v>
      </c>
      <c r="AF976" t="s">
        <v>60</v>
      </c>
    </row>
    <row r="977">
      <c r="A977" t="s">
        <v>2011</v>
      </c>
      <c r="B977" s="2">
        <v>45917.5</v>
      </c>
      <c r="C977" t="s">
        <v>37</v>
      </c>
      <c r="D977" t="s">
        <f>'客户档案'!B3</f>
        <v>38</v>
      </c>
      <c r="E977" t="s">
        <v>51</v>
      </c>
      <c r="F977" t="s">
        <v>52</v>
      </c>
      <c r="G977" t="s">
        <f>'商品目录'!B4</f>
        <v>53</v>
      </c>
      <c r="H977" t="s">
        <v>54</v>
      </c>
      <c r="I977">
        <v>10</v>
      </c>
      <c r="J977" s="4">
        <v>129</v>
      </c>
      <c r="K977" s="4">
        <f>I977*J977</f>
        <v>1290</v>
      </c>
      <c r="L977" s="3">
        <v>0.5</v>
      </c>
      <c r="M977" s="4">
        <f>K977*L977</f>
        <v>645</v>
      </c>
      <c r="N977" s="4">
        <v>0</v>
      </c>
      <c r="O977" s="4">
        <f>K977-M977+N977</f>
        <v>645</v>
      </c>
      <c r="P977" t="s">
        <v>43</v>
      </c>
      <c r="Q977" t="b">
        <v>1</v>
      </c>
      <c r="R977" t="s">
        <v>55</v>
      </c>
      <c r="S977" t="s">
        <v>45</v>
      </c>
      <c r="T977" t="s">
        <v>46</v>
      </c>
      <c r="U977" t="s">
        <v>51</v>
      </c>
      <c r="V977" t="s">
        <v>38</v>
      </c>
      <c r="W977" t="s">
        <v>2012</v>
      </c>
      <c r="X977" t="s">
        <v>59</v>
      </c>
      <c r="Y977">
        <v>9007199254741962</v>
      </c>
      <c r="Z977">
        <v>2</v>
      </c>
      <c r="AA977" t="s">
        <v>38</v>
      </c>
      <c r="AB977" t="b">
        <v>1</v>
      </c>
      <c r="AD977" s="3">
        <v>0.125</v>
      </c>
      <c r="AE977" s="2">
        <v>45919.5</v>
      </c>
      <c r="AF977" t="s">
        <v>60</v>
      </c>
    </row>
    <row r="978">
      <c r="A978" t="s">
        <v>2013</v>
      </c>
      <c r="B978" s="2">
        <v>45918.5</v>
      </c>
      <c r="C978" t="s">
        <v>49</v>
      </c>
      <c r="D978" t="s">
        <f>'客户档案'!B4</f>
        <v>50</v>
      </c>
      <c r="E978" t="s">
        <v>64</v>
      </c>
      <c r="F978" t="s">
        <v>65</v>
      </c>
      <c r="G978" t="s">
        <f>'商品目录'!B5</f>
        <v>66</v>
      </c>
      <c r="H978" t="s">
        <v>67</v>
      </c>
      <c r="I978">
        <v>2</v>
      </c>
      <c r="J978" s="4">
        <v>45</v>
      </c>
      <c r="K978" s="4">
        <f>I978*J978</f>
        <v>90</v>
      </c>
      <c r="L978" s="3">
        <v>0</v>
      </c>
      <c r="M978" s="4">
        <f>K978*L978</f>
        <v>0</v>
      </c>
      <c r="N978" s="4">
        <v>10</v>
      </c>
      <c r="O978" s="4">
        <f>K978-M978+N978</f>
        <v>100</v>
      </c>
      <c r="P978" t="s">
        <v>43</v>
      </c>
      <c r="Q978" t="b">
        <v>1</v>
      </c>
      <c r="R978" t="s">
        <v>55</v>
      </c>
      <c r="S978" t="s">
        <v>56</v>
      </c>
      <c r="T978" t="s">
        <v>57</v>
      </c>
      <c r="U978" t="s">
        <v>70</v>
      </c>
      <c r="V978" t="s">
        <v>50</v>
      </c>
      <c r="W978" t="s">
        <v>2014</v>
      </c>
      <c r="X978" t="s">
        <v>72</v>
      </c>
      <c r="Y978">
        <v>9007199254741963</v>
      </c>
      <c r="Z978">
        <v>0</v>
      </c>
      <c r="AA978" t="s">
        <v>50</v>
      </c>
      <c r="AB978" t="b">
        <v>0</v>
      </c>
      <c r="AD978" s="3">
        <v>0.125</v>
      </c>
      <c r="AE978" s="2">
        <v>45920.5</v>
      </c>
      <c r="AF978" t="s">
        <v>60</v>
      </c>
    </row>
    <row r="979">
      <c r="A979" t="s">
        <v>2015</v>
      </c>
      <c r="B979" s="2">
        <v>45919.5</v>
      </c>
      <c r="C979" t="s">
        <v>62</v>
      </c>
      <c r="D979" t="s">
        <f>'客户档案'!B5</f>
        <v>63</v>
      </c>
      <c r="E979" t="s">
        <v>74</v>
      </c>
      <c r="F979" t="s">
        <v>75</v>
      </c>
      <c r="G979" t="s">
        <f>'商品目录'!B6</f>
        <v>76</v>
      </c>
      <c r="H979" t="s">
        <v>77</v>
      </c>
      <c r="I979">
        <v>4</v>
      </c>
      <c r="J979" s="4">
        <v>8</v>
      </c>
      <c r="K979" s="4">
        <f>I979*J979</f>
        <v>32</v>
      </c>
      <c r="L979" s="3">
        <v>0.5</v>
      </c>
      <c r="M979" s="4">
        <f>K979*L979</f>
        <v>16</v>
      </c>
      <c r="N979" s="4">
        <v>20</v>
      </c>
      <c r="O979" s="4">
        <f>K979-M979+N979</f>
        <v>36</v>
      </c>
      <c r="P979" t="s">
        <v>43</v>
      </c>
      <c r="Q979" t="b">
        <v>1</v>
      </c>
      <c r="R979" t="s">
        <v>55</v>
      </c>
      <c r="S979" t="s">
        <v>68</v>
      </c>
      <c r="T979" t="s">
        <v>69</v>
      </c>
      <c r="U979" t="s">
        <v>78</v>
      </c>
      <c r="V979" t="s">
        <v>63</v>
      </c>
      <c r="W979" t="s">
        <v>2016</v>
      </c>
      <c r="X979" t="s">
        <v>80</v>
      </c>
      <c r="Y979">
        <v>9007199254741964</v>
      </c>
      <c r="Z979">
        <v>0</v>
      </c>
      <c r="AA979" t="s">
        <v>63</v>
      </c>
      <c r="AB979" t="b">
        <v>1</v>
      </c>
      <c r="AD979" s="3">
        <v>0.125</v>
      </c>
      <c r="AE979" s="2">
        <v>45921.5</v>
      </c>
      <c r="AF979" t="s">
        <v>60</v>
      </c>
    </row>
    <row r="980">
      <c r="A980" t="s">
        <v>2017</v>
      </c>
      <c r="B980" s="2">
        <v>45920.5</v>
      </c>
      <c r="C980" t="s">
        <v>37</v>
      </c>
      <c r="D980" t="s">
        <f>'客户档案'!B3</f>
        <v>38</v>
      </c>
      <c r="E980" t="s">
        <v>39</v>
      </c>
      <c r="F980" t="s">
        <v>40</v>
      </c>
      <c r="G980" t="s">
        <f>'商品目录'!B3</f>
        <v>41</v>
      </c>
      <c r="H980" t="s">
        <v>42</v>
      </c>
      <c r="I980">
        <v>6</v>
      </c>
      <c r="J980" s="4">
        <v>99</v>
      </c>
      <c r="K980" s="4">
        <f>I980*J980</f>
        <v>594</v>
      </c>
      <c r="L980" s="3">
        <v>0</v>
      </c>
      <c r="M980" s="4">
        <f>K980*L980</f>
        <v>0</v>
      </c>
      <c r="N980" s="4">
        <v>0</v>
      </c>
      <c r="O980" s="4">
        <f>K980-M980+N980</f>
        <v>594</v>
      </c>
      <c r="P980" t="s">
        <v>43</v>
      </c>
      <c r="Q980" t="b">
        <v>0</v>
      </c>
      <c r="R980" t="s">
        <v>44</v>
      </c>
      <c r="S980" t="s">
        <v>45</v>
      </c>
      <c r="T980" t="s">
        <v>46</v>
      </c>
      <c r="U980" t="s">
        <v>39</v>
      </c>
      <c r="V980" t="s">
        <v>38</v>
      </c>
      <c r="W980" t="s">
        <v>2018</v>
      </c>
      <c r="X980" t="s">
        <v>0</v>
      </c>
      <c r="Y980">
        <v>9007199254741965</v>
      </c>
      <c r="Z980">
        <v>0</v>
      </c>
      <c r="AA980" t="s">
        <v>38</v>
      </c>
      <c r="AB980" t="b">
        <v>0</v>
      </c>
      <c r="AD980" s="3">
        <v>0.125</v>
      </c>
      <c r="AE980" s="2">
        <v>45922.5</v>
      </c>
      <c r="AF980" t="s">
        <v>60</v>
      </c>
    </row>
    <row r="981">
      <c r="A981" t="s">
        <v>2019</v>
      </c>
      <c r="B981" s="2">
        <v>45921.5</v>
      </c>
      <c r="C981" t="s">
        <v>49</v>
      </c>
      <c r="D981" t="s">
        <f>'客户档案'!B4</f>
        <v>50</v>
      </c>
      <c r="E981" t="s">
        <v>51</v>
      </c>
      <c r="F981" t="s">
        <v>52</v>
      </c>
      <c r="G981" t="s">
        <f>'商品目录'!B4</f>
        <v>53</v>
      </c>
      <c r="H981" t="s">
        <v>54</v>
      </c>
      <c r="I981">
        <v>8</v>
      </c>
      <c r="J981" s="4">
        <v>129</v>
      </c>
      <c r="K981" s="4">
        <f>I981*J981</f>
        <v>1032</v>
      </c>
      <c r="L981" s="3">
        <v>0.5</v>
      </c>
      <c r="M981" s="4">
        <f>K981*L981</f>
        <v>516</v>
      </c>
      <c r="N981" s="4">
        <v>10</v>
      </c>
      <c r="O981" s="4">
        <f>K981-M981+N981</f>
        <v>526</v>
      </c>
      <c r="P981" t="s">
        <v>43</v>
      </c>
      <c r="Q981" t="b">
        <v>1</v>
      </c>
      <c r="R981" t="s">
        <v>55</v>
      </c>
      <c r="S981" t="s">
        <v>56</v>
      </c>
      <c r="T981" t="s">
        <v>57</v>
      </c>
      <c r="U981" t="s">
        <v>51</v>
      </c>
      <c r="V981" t="s">
        <v>50</v>
      </c>
      <c r="W981" t="s">
        <v>2020</v>
      </c>
      <c r="X981" t="s">
        <v>59</v>
      </c>
      <c r="Y981">
        <v>9007199254741966</v>
      </c>
      <c r="Z981">
        <v>0</v>
      </c>
      <c r="AA981" t="s">
        <v>50</v>
      </c>
      <c r="AB981" t="b">
        <v>1</v>
      </c>
      <c r="AD981" s="3">
        <v>0.125</v>
      </c>
      <c r="AE981" s="2">
        <v>45923.5</v>
      </c>
      <c r="AF981" t="s">
        <v>60</v>
      </c>
    </row>
    <row r="982">
      <c r="A982" t="s">
        <v>2021</v>
      </c>
      <c r="B982" s="2">
        <v>45922.5</v>
      </c>
      <c r="C982" t="s">
        <v>62</v>
      </c>
      <c r="D982" t="s">
        <f>'客户档案'!B5</f>
        <v>63</v>
      </c>
      <c r="E982" t="s">
        <v>64</v>
      </c>
      <c r="F982" t="s">
        <v>65</v>
      </c>
      <c r="G982" t="s">
        <f>'商品目录'!B5</f>
        <v>66</v>
      </c>
      <c r="H982" t="s">
        <v>67</v>
      </c>
      <c r="I982">
        <v>10</v>
      </c>
      <c r="J982" s="4">
        <v>45</v>
      </c>
      <c r="K982" s="4">
        <f>I982*J982</f>
        <v>450</v>
      </c>
      <c r="L982" s="3">
        <v>0</v>
      </c>
      <c r="M982" s="4">
        <f>K982*L982</f>
        <v>0</v>
      </c>
      <c r="N982" s="4">
        <v>20</v>
      </c>
      <c r="O982" s="4">
        <f>K982-M982+N982</f>
        <v>470</v>
      </c>
      <c r="P982" t="s">
        <v>43</v>
      </c>
      <c r="Q982" t="b">
        <v>1</v>
      </c>
      <c r="R982" t="s">
        <v>55</v>
      </c>
      <c r="S982" t="s">
        <v>68</v>
      </c>
      <c r="T982" t="s">
        <v>69</v>
      </c>
      <c r="U982" t="s">
        <v>70</v>
      </c>
      <c r="V982" t="s">
        <v>63</v>
      </c>
      <c r="W982" t="s">
        <v>2022</v>
      </c>
      <c r="X982" t="s">
        <v>72</v>
      </c>
      <c r="Y982">
        <v>9007199254741967</v>
      </c>
      <c r="Z982">
        <v>0</v>
      </c>
      <c r="AA982" t="s">
        <v>63</v>
      </c>
      <c r="AB982" t="b">
        <v>0</v>
      </c>
      <c r="AD982" s="3">
        <v>0.125</v>
      </c>
      <c r="AE982" s="2">
        <v>45924.5</v>
      </c>
      <c r="AF982" t="s">
        <v>60</v>
      </c>
    </row>
    <row r="983">
      <c r="A983" t="s">
        <v>2023</v>
      </c>
      <c r="B983" s="2">
        <v>45923.5</v>
      </c>
      <c r="C983" t="s">
        <v>37</v>
      </c>
      <c r="D983" t="s">
        <f>'客户档案'!B3</f>
        <v>38</v>
      </c>
      <c r="E983" t="s">
        <v>74</v>
      </c>
      <c r="F983" t="s">
        <v>75</v>
      </c>
      <c r="G983" t="s">
        <f>'商品目录'!B6</f>
        <v>76</v>
      </c>
      <c r="H983" t="s">
        <v>77</v>
      </c>
      <c r="I983">
        <v>2</v>
      </c>
      <c r="J983" s="4">
        <v>8</v>
      </c>
      <c r="K983" s="4">
        <f>I983*J983</f>
        <v>16</v>
      </c>
      <c r="L983" s="3">
        <v>0.5</v>
      </c>
      <c r="M983" s="4">
        <f>K983*L983</f>
        <v>8</v>
      </c>
      <c r="N983" s="4">
        <v>0</v>
      </c>
      <c r="O983" s="4">
        <f>K983-M983+N983</f>
        <v>8</v>
      </c>
      <c r="P983" t="s">
        <v>43</v>
      </c>
      <c r="Q983" t="b">
        <v>1</v>
      </c>
      <c r="R983" t="s">
        <v>55</v>
      </c>
      <c r="S983" t="s">
        <v>45</v>
      </c>
      <c r="T983" t="s">
        <v>46</v>
      </c>
      <c r="U983" t="s">
        <v>78</v>
      </c>
      <c r="V983" t="s">
        <v>38</v>
      </c>
      <c r="W983" t="s">
        <v>2024</v>
      </c>
      <c r="X983" t="s">
        <v>80</v>
      </c>
      <c r="Y983">
        <v>9007199254741968</v>
      </c>
      <c r="Z983">
        <v>0</v>
      </c>
      <c r="AA983" t="s">
        <v>38</v>
      </c>
      <c r="AB983" t="b">
        <v>1</v>
      </c>
      <c r="AD983" s="3">
        <v>0.125</v>
      </c>
      <c r="AE983" s="2">
        <v>45925.5</v>
      </c>
      <c r="AF983" t="s">
        <v>60</v>
      </c>
    </row>
    <row r="984">
      <c r="A984" t="s">
        <v>2025</v>
      </c>
      <c r="B984" s="2">
        <v>45924.5</v>
      </c>
      <c r="C984" t="s">
        <v>49</v>
      </c>
      <c r="D984" t="s">
        <f>'客户档案'!B4</f>
        <v>50</v>
      </c>
      <c r="E984" t="s">
        <v>39</v>
      </c>
      <c r="F984" t="s">
        <v>40</v>
      </c>
      <c r="G984" t="s">
        <f>'商品目录'!B3</f>
        <v>41</v>
      </c>
      <c r="H984" t="s">
        <v>42</v>
      </c>
      <c r="I984">
        <v>4</v>
      </c>
      <c r="J984" s="4">
        <v>99</v>
      </c>
      <c r="K984" s="4">
        <f>I984*J984</f>
        <v>396</v>
      </c>
      <c r="L984" s="3">
        <v>0</v>
      </c>
      <c r="M984" s="4">
        <f>K984*L984</f>
        <v>0</v>
      </c>
      <c r="N984" s="4">
        <v>10</v>
      </c>
      <c r="O984" s="4">
        <f>K984-M984+N984</f>
        <v>406</v>
      </c>
      <c r="P984" t="s">
        <v>43</v>
      </c>
      <c r="Q984" t="b">
        <v>0</v>
      </c>
      <c r="R984" t="s">
        <v>44</v>
      </c>
      <c r="S984" t="s">
        <v>56</v>
      </c>
      <c r="T984" t="s">
        <v>57</v>
      </c>
      <c r="U984" t="s">
        <v>39</v>
      </c>
      <c r="V984" t="s">
        <v>50</v>
      </c>
      <c r="W984" t="s">
        <v>2026</v>
      </c>
      <c r="X984" t="s">
        <v>0</v>
      </c>
      <c r="Y984">
        <v>9007199254741969</v>
      </c>
      <c r="Z984">
        <v>0</v>
      </c>
      <c r="AA984" t="s">
        <v>50</v>
      </c>
      <c r="AB984" t="b">
        <v>0</v>
      </c>
      <c r="AD984" s="3">
        <v>0.125</v>
      </c>
      <c r="AE984" s="2">
        <v>45926.5</v>
      </c>
      <c r="AF984" t="s">
        <v>60</v>
      </c>
    </row>
    <row r="985">
      <c r="A985" t="s">
        <v>2027</v>
      </c>
      <c r="B985" s="2">
        <v>45925.5</v>
      </c>
      <c r="C985" t="s">
        <v>62</v>
      </c>
      <c r="D985" t="s">
        <f>'客户档案'!B5</f>
        <v>63</v>
      </c>
      <c r="E985" t="s">
        <v>51</v>
      </c>
      <c r="F985" t="s">
        <v>52</v>
      </c>
      <c r="G985" t="s">
        <f>'商品目录'!B4</f>
        <v>53</v>
      </c>
      <c r="H985" t="s">
        <v>54</v>
      </c>
      <c r="I985">
        <v>6</v>
      </c>
      <c r="J985" s="4">
        <v>129</v>
      </c>
      <c r="K985" s="4">
        <f>I985*J985</f>
        <v>774</v>
      </c>
      <c r="L985" s="3">
        <v>0.5</v>
      </c>
      <c r="M985" s="4">
        <f>K985*L985</f>
        <v>387</v>
      </c>
      <c r="N985" s="4">
        <v>20</v>
      </c>
      <c r="O985" s="4">
        <f>K985-M985+N985</f>
        <v>407</v>
      </c>
      <c r="P985" t="s">
        <v>43</v>
      </c>
      <c r="Q985" t="b">
        <v>1</v>
      </c>
      <c r="R985" t="s">
        <v>55</v>
      </c>
      <c r="S985" t="s">
        <v>68</v>
      </c>
      <c r="T985" t="s">
        <v>69</v>
      </c>
      <c r="U985" t="s">
        <v>51</v>
      </c>
      <c r="V985" t="s">
        <v>63</v>
      </c>
      <c r="W985" t="s">
        <v>2028</v>
      </c>
      <c r="X985" t="s">
        <v>59</v>
      </c>
      <c r="Y985">
        <v>9007199254741970</v>
      </c>
      <c r="Z985">
        <v>0</v>
      </c>
      <c r="AA985" t="s">
        <v>63</v>
      </c>
      <c r="AB985" t="b">
        <v>1</v>
      </c>
      <c r="AD985" s="3">
        <v>0.125</v>
      </c>
      <c r="AE985" s="2">
        <v>45927.5</v>
      </c>
      <c r="AF985" t="s">
        <v>60</v>
      </c>
    </row>
    <row r="986">
      <c r="A986" t="s">
        <v>2029</v>
      </c>
      <c r="B986" s="2">
        <v>45926.5</v>
      </c>
      <c r="C986" t="s">
        <v>37</v>
      </c>
      <c r="D986" t="s">
        <f>'客户档案'!B3</f>
        <v>38</v>
      </c>
      <c r="E986" t="s">
        <v>64</v>
      </c>
      <c r="F986" t="s">
        <v>65</v>
      </c>
      <c r="G986" t="s">
        <f>'商品目录'!B5</f>
        <v>66</v>
      </c>
      <c r="H986" t="s">
        <v>67</v>
      </c>
      <c r="I986">
        <v>8</v>
      </c>
      <c r="J986" s="4">
        <v>45</v>
      </c>
      <c r="K986" s="4">
        <f>I986*J986</f>
        <v>360</v>
      </c>
      <c r="L986" s="3">
        <v>0</v>
      </c>
      <c r="M986" s="4">
        <f>K986*L986</f>
        <v>0</v>
      </c>
      <c r="N986" s="4">
        <v>0</v>
      </c>
      <c r="O986" s="4">
        <f>K986-M986+N986</f>
        <v>360</v>
      </c>
      <c r="P986" t="s">
        <v>43</v>
      </c>
      <c r="Q986" t="b">
        <v>1</v>
      </c>
      <c r="R986" t="s">
        <v>55</v>
      </c>
      <c r="S986" t="s">
        <v>45</v>
      </c>
      <c r="T986" t="s">
        <v>46</v>
      </c>
      <c r="U986" t="s">
        <v>70</v>
      </c>
      <c r="V986" t="s">
        <v>38</v>
      </c>
      <c r="W986" t="s">
        <v>2030</v>
      </c>
      <c r="X986" t="s">
        <v>72</v>
      </c>
      <c r="Y986">
        <v>9007199254741971</v>
      </c>
      <c r="Z986">
        <v>0</v>
      </c>
      <c r="AA986" t="s">
        <v>38</v>
      </c>
      <c r="AB986" t="b">
        <v>0</v>
      </c>
      <c r="AD986" s="3">
        <v>0.125</v>
      </c>
      <c r="AE986" s="2">
        <v>45928.5</v>
      </c>
      <c r="AF986" t="s">
        <v>60</v>
      </c>
    </row>
    <row r="987">
      <c r="A987" t="s">
        <v>2031</v>
      </c>
      <c r="B987" s="2">
        <v>45927.5</v>
      </c>
      <c r="C987" t="s">
        <v>49</v>
      </c>
      <c r="D987" t="s">
        <f>'客户档案'!B4</f>
        <v>50</v>
      </c>
      <c r="E987" t="s">
        <v>74</v>
      </c>
      <c r="F987" t="s">
        <v>75</v>
      </c>
      <c r="G987" t="s">
        <f>'商品目录'!B6</f>
        <v>76</v>
      </c>
      <c r="H987" t="s">
        <v>77</v>
      </c>
      <c r="I987">
        <v>10</v>
      </c>
      <c r="J987" s="4">
        <v>8</v>
      </c>
      <c r="K987" s="4">
        <f>I987*J987</f>
        <v>80</v>
      </c>
      <c r="L987" s="3">
        <v>0.5</v>
      </c>
      <c r="M987" s="4">
        <f>K987*L987</f>
        <v>40</v>
      </c>
      <c r="N987" s="4">
        <v>10</v>
      </c>
      <c r="O987" s="4">
        <f>K987-M987+N987</f>
        <v>50</v>
      </c>
      <c r="P987" t="s">
        <v>43</v>
      </c>
      <c r="Q987" t="b">
        <v>1</v>
      </c>
      <c r="R987" t="s">
        <v>55</v>
      </c>
      <c r="S987" t="s">
        <v>56</v>
      </c>
      <c r="T987" t="s">
        <v>57</v>
      </c>
      <c r="U987" t="s">
        <v>78</v>
      </c>
      <c r="V987" t="s">
        <v>50</v>
      </c>
      <c r="W987" t="s">
        <v>2032</v>
      </c>
      <c r="X987" t="s">
        <v>80</v>
      </c>
      <c r="Y987">
        <v>9007199254741972</v>
      </c>
      <c r="Z987">
        <v>0</v>
      </c>
      <c r="AA987" t="s">
        <v>50</v>
      </c>
      <c r="AB987" t="b">
        <v>1</v>
      </c>
      <c r="AD987" s="3">
        <v>0.125</v>
      </c>
      <c r="AE987" s="2">
        <v>45929.5</v>
      </c>
      <c r="AF987" t="s">
        <v>60</v>
      </c>
    </row>
    <row r="988">
      <c r="A988" t="s">
        <v>2033</v>
      </c>
      <c r="B988" s="2">
        <v>45900.5</v>
      </c>
      <c r="C988" t="s">
        <v>62</v>
      </c>
      <c r="D988" t="s">
        <f>'客户档案'!B5</f>
        <v>63</v>
      </c>
      <c r="E988" t="s">
        <v>39</v>
      </c>
      <c r="F988" t="s">
        <v>40</v>
      </c>
      <c r="G988" t="s">
        <f>'商品目录'!B3</f>
        <v>41</v>
      </c>
      <c r="H988" t="s">
        <v>42</v>
      </c>
      <c r="I988">
        <v>2</v>
      </c>
      <c r="J988" s="4">
        <v>99</v>
      </c>
      <c r="K988" s="4">
        <f>I988*J988</f>
        <v>198</v>
      </c>
      <c r="L988" s="3">
        <v>0</v>
      </c>
      <c r="M988" s="4">
        <f>K988*L988</f>
        <v>0</v>
      </c>
      <c r="N988" s="4">
        <v>20</v>
      </c>
      <c r="O988" s="4">
        <f>K988-M988+N988</f>
        <v>218</v>
      </c>
      <c r="P988" t="s">
        <v>43</v>
      </c>
      <c r="Q988" t="b">
        <v>0</v>
      </c>
      <c r="R988" t="s">
        <v>44</v>
      </c>
      <c r="S988" t="s">
        <v>68</v>
      </c>
      <c r="T988" t="s">
        <v>69</v>
      </c>
      <c r="U988" t="s">
        <v>39</v>
      </c>
      <c r="V988" t="s">
        <v>63</v>
      </c>
      <c r="W988" t="s">
        <v>2034</v>
      </c>
      <c r="X988" t="s">
        <v>0</v>
      </c>
      <c r="Y988">
        <v>9007199254741973</v>
      </c>
      <c r="Z988">
        <v>0</v>
      </c>
      <c r="AA988" t="s">
        <v>63</v>
      </c>
      <c r="AB988" t="b">
        <v>0</v>
      </c>
      <c r="AD988" s="3">
        <v>0.125</v>
      </c>
      <c r="AE988" s="2">
        <v>45902.5</v>
      </c>
      <c r="AF988" t="s">
        <v>60</v>
      </c>
    </row>
    <row r="989">
      <c r="A989" t="s">
        <v>2035</v>
      </c>
      <c r="B989" s="2">
        <v>45901.5</v>
      </c>
      <c r="C989" t="s">
        <v>37</v>
      </c>
      <c r="D989" t="s">
        <f>'客户档案'!B3</f>
        <v>38</v>
      </c>
      <c r="E989" t="s">
        <v>51</v>
      </c>
      <c r="F989" t="s">
        <v>52</v>
      </c>
      <c r="G989" t="s">
        <f>'商品目录'!B4</f>
        <v>53</v>
      </c>
      <c r="H989" t="s">
        <v>54</v>
      </c>
      <c r="I989">
        <v>4</v>
      </c>
      <c r="J989" s="4">
        <v>129</v>
      </c>
      <c r="K989" s="4">
        <f>I989*J989</f>
        <v>516</v>
      </c>
      <c r="L989" s="3">
        <v>0.5</v>
      </c>
      <c r="M989" s="4">
        <f>K989*L989</f>
        <v>258</v>
      </c>
      <c r="N989" s="4">
        <v>0</v>
      </c>
      <c r="O989" s="4">
        <f>K989-M989+N989</f>
        <v>258</v>
      </c>
      <c r="P989" t="s">
        <v>43</v>
      </c>
      <c r="Q989" t="b">
        <v>1</v>
      </c>
      <c r="R989" t="s">
        <v>55</v>
      </c>
      <c r="S989" t="s">
        <v>45</v>
      </c>
      <c r="T989" t="s">
        <v>46</v>
      </c>
      <c r="U989" t="s">
        <v>51</v>
      </c>
      <c r="V989" t="s">
        <v>38</v>
      </c>
      <c r="W989" t="s">
        <v>2036</v>
      </c>
      <c r="X989" t="s">
        <v>59</v>
      </c>
      <c r="Y989">
        <v>9007199254741974</v>
      </c>
      <c r="Z989">
        <v>0</v>
      </c>
      <c r="AA989" t="s">
        <v>38</v>
      </c>
      <c r="AB989" t="b">
        <v>1</v>
      </c>
      <c r="AD989" s="3">
        <v>0.125</v>
      </c>
      <c r="AE989" s="2">
        <v>45903.5</v>
      </c>
      <c r="AF989" t="s">
        <v>60</v>
      </c>
    </row>
    <row r="990">
      <c r="A990" t="s">
        <v>2037</v>
      </c>
      <c r="B990" s="2">
        <v>45902.5</v>
      </c>
      <c r="C990" t="s">
        <v>49</v>
      </c>
      <c r="D990" t="s">
        <f>'客户档案'!B4</f>
        <v>50</v>
      </c>
      <c r="E990" t="s">
        <v>64</v>
      </c>
      <c r="F990" t="s">
        <v>65</v>
      </c>
      <c r="G990" t="s">
        <f>'商品目录'!B5</f>
        <v>66</v>
      </c>
      <c r="H990" t="s">
        <v>67</v>
      </c>
      <c r="I990">
        <v>6</v>
      </c>
      <c r="J990" s="4">
        <v>45</v>
      </c>
      <c r="K990" s="4">
        <f>I990*J990</f>
        <v>270</v>
      </c>
      <c r="L990" s="3">
        <v>0</v>
      </c>
      <c r="M990" s="4">
        <f>K990*L990</f>
        <v>0</v>
      </c>
      <c r="N990" s="4">
        <v>10</v>
      </c>
      <c r="O990" s="4">
        <f>K990-M990+N990</f>
        <v>280</v>
      </c>
      <c r="P990" t="s">
        <v>43</v>
      </c>
      <c r="Q990" t="b">
        <v>1</v>
      </c>
      <c r="R990" t="s">
        <v>55</v>
      </c>
      <c r="S990" t="s">
        <v>56</v>
      </c>
      <c r="T990" t="s">
        <v>57</v>
      </c>
      <c r="U990" t="s">
        <v>70</v>
      </c>
      <c r="V990" t="s">
        <v>50</v>
      </c>
      <c r="W990" t="s">
        <v>2038</v>
      </c>
      <c r="X990" t="s">
        <v>72</v>
      </c>
      <c r="Y990">
        <v>9007199254741975</v>
      </c>
      <c r="Z990">
        <v>0</v>
      </c>
      <c r="AA990" t="s">
        <v>50</v>
      </c>
      <c r="AB990" t="b">
        <v>0</v>
      </c>
      <c r="AD990" s="3">
        <v>0.125</v>
      </c>
      <c r="AE990" s="2">
        <v>45904.5</v>
      </c>
      <c r="AF990" t="s">
        <v>60</v>
      </c>
    </row>
    <row r="991">
      <c r="A991" t="s">
        <v>2039</v>
      </c>
      <c r="B991" s="2">
        <v>45903.5</v>
      </c>
      <c r="C991" t="s">
        <v>62</v>
      </c>
      <c r="D991" t="s">
        <f>'客户档案'!B5</f>
        <v>63</v>
      </c>
      <c r="E991" t="s">
        <v>74</v>
      </c>
      <c r="F991" t="s">
        <v>75</v>
      </c>
      <c r="G991" t="s">
        <f>'商品目录'!B6</f>
        <v>76</v>
      </c>
      <c r="H991" t="s">
        <v>77</v>
      </c>
      <c r="I991">
        <v>8</v>
      </c>
      <c r="J991" s="4">
        <v>8</v>
      </c>
      <c r="K991" s="4">
        <f>I991*J991</f>
        <v>64</v>
      </c>
      <c r="L991" s="3">
        <v>0.5</v>
      </c>
      <c r="M991" s="4">
        <f>K991*L991</f>
        <v>32</v>
      </c>
      <c r="N991" s="4">
        <v>20</v>
      </c>
      <c r="O991" s="4">
        <f>K991-M991+N991</f>
        <v>52</v>
      </c>
      <c r="P991" t="s">
        <v>43</v>
      </c>
      <c r="Q991" t="b">
        <v>1</v>
      </c>
      <c r="R991" t="s">
        <v>55</v>
      </c>
      <c r="S991" t="s">
        <v>68</v>
      </c>
      <c r="T991" t="s">
        <v>69</v>
      </c>
      <c r="U991" t="s">
        <v>78</v>
      </c>
      <c r="V991" t="s">
        <v>63</v>
      </c>
      <c r="W991" t="s">
        <v>2040</v>
      </c>
      <c r="X991" t="s">
        <v>80</v>
      </c>
      <c r="Y991">
        <v>9007199254741976</v>
      </c>
      <c r="Z991">
        <v>0</v>
      </c>
      <c r="AA991" t="s">
        <v>63</v>
      </c>
      <c r="AB991" t="b">
        <v>1</v>
      </c>
      <c r="AD991" s="3">
        <v>0.125</v>
      </c>
      <c r="AE991" s="2">
        <v>45905.5</v>
      </c>
      <c r="AF991" t="s">
        <v>60</v>
      </c>
    </row>
    <row r="992">
      <c r="A992" t="s">
        <v>2041</v>
      </c>
      <c r="B992" s="2">
        <v>45904.5</v>
      </c>
      <c r="C992" t="s">
        <v>37</v>
      </c>
      <c r="D992" t="s">
        <f>'客户档案'!B3</f>
        <v>38</v>
      </c>
      <c r="E992" t="s">
        <v>39</v>
      </c>
      <c r="F992" t="s">
        <v>40</v>
      </c>
      <c r="G992" t="s">
        <f>'商品目录'!B3</f>
        <v>41</v>
      </c>
      <c r="H992" t="s">
        <v>42</v>
      </c>
      <c r="I992">
        <v>10</v>
      </c>
      <c r="J992" s="4">
        <v>99</v>
      </c>
      <c r="K992" s="4">
        <f>I992*J992</f>
        <v>990</v>
      </c>
      <c r="L992" s="3">
        <v>0</v>
      </c>
      <c r="M992" s="4">
        <f>K992*L992</f>
        <v>0</v>
      </c>
      <c r="N992" s="4">
        <v>0</v>
      </c>
      <c r="O992" s="4">
        <f>K992-M992+N992</f>
        <v>990</v>
      </c>
      <c r="P992" t="s">
        <v>43</v>
      </c>
      <c r="Q992" t="b">
        <v>0</v>
      </c>
      <c r="R992" t="s">
        <v>44</v>
      </c>
      <c r="S992" t="s">
        <v>45</v>
      </c>
      <c r="T992" t="s">
        <v>46</v>
      </c>
      <c r="U992" t="s">
        <v>39</v>
      </c>
      <c r="V992" t="s">
        <v>38</v>
      </c>
      <c r="W992" t="s">
        <v>2042</v>
      </c>
      <c r="X992" t="s">
        <v>0</v>
      </c>
      <c r="Y992">
        <v>9007199254741977</v>
      </c>
      <c r="Z992">
        <v>0</v>
      </c>
      <c r="AA992" t="s">
        <v>38</v>
      </c>
      <c r="AB992" t="b">
        <v>0</v>
      </c>
      <c r="AD992" s="3">
        <v>0.125</v>
      </c>
      <c r="AE992" s="2">
        <v>45906.5</v>
      </c>
      <c r="AF992" t="s">
        <v>60</v>
      </c>
    </row>
    <row r="993">
      <c r="A993" t="s">
        <v>2043</v>
      </c>
      <c r="B993" s="2">
        <v>45905.5</v>
      </c>
      <c r="C993" t="s">
        <v>49</v>
      </c>
      <c r="D993" t="s">
        <f>'客户档案'!B4</f>
        <v>50</v>
      </c>
      <c r="E993" t="s">
        <v>51</v>
      </c>
      <c r="F993" t="s">
        <v>52</v>
      </c>
      <c r="G993" t="s">
        <f>'商品目录'!B4</f>
        <v>53</v>
      </c>
      <c r="H993" t="s">
        <v>54</v>
      </c>
      <c r="I993">
        <v>2</v>
      </c>
      <c r="J993" s="4">
        <v>129</v>
      </c>
      <c r="K993" s="4">
        <f>I993*J993</f>
        <v>258</v>
      </c>
      <c r="L993" s="3">
        <v>0.5</v>
      </c>
      <c r="M993" s="4">
        <f>K993*L993</f>
        <v>129</v>
      </c>
      <c r="N993" s="4">
        <v>10</v>
      </c>
      <c r="O993" s="4">
        <f>K993-M993+N993</f>
        <v>139</v>
      </c>
      <c r="P993" t="s">
        <v>43</v>
      </c>
      <c r="Q993" t="b">
        <v>1</v>
      </c>
      <c r="R993" t="s">
        <v>55</v>
      </c>
      <c r="S993" t="s">
        <v>56</v>
      </c>
      <c r="T993" t="s">
        <v>57</v>
      </c>
      <c r="U993" t="s">
        <v>51</v>
      </c>
      <c r="V993" t="s">
        <v>50</v>
      </c>
      <c r="W993" t="s">
        <v>2044</v>
      </c>
      <c r="X993" t="s">
        <v>59</v>
      </c>
      <c r="Y993">
        <v>9007199254741978</v>
      </c>
      <c r="Z993">
        <v>0</v>
      </c>
      <c r="AA993" t="s">
        <v>50</v>
      </c>
      <c r="AB993" t="b">
        <v>1</v>
      </c>
      <c r="AD993" s="3">
        <v>0.125</v>
      </c>
      <c r="AE993" s="2">
        <v>45907.5</v>
      </c>
      <c r="AF993" t="s">
        <v>60</v>
      </c>
    </row>
    <row r="994">
      <c r="A994" t="s">
        <v>2045</v>
      </c>
      <c r="B994" s="2">
        <v>45906.5</v>
      </c>
      <c r="C994" t="s">
        <v>62</v>
      </c>
      <c r="D994" t="s">
        <f>'客户档案'!B5</f>
        <v>63</v>
      </c>
      <c r="E994" t="s">
        <v>64</v>
      </c>
      <c r="F994" t="s">
        <v>65</v>
      </c>
      <c r="G994" t="s">
        <f>'商品目录'!B5</f>
        <v>66</v>
      </c>
      <c r="H994" t="s">
        <v>67</v>
      </c>
      <c r="I994">
        <v>4</v>
      </c>
      <c r="J994" s="4">
        <v>45</v>
      </c>
      <c r="K994" s="4">
        <f>I994*J994</f>
        <v>180</v>
      </c>
      <c r="L994" s="3">
        <v>0</v>
      </c>
      <c r="M994" s="4">
        <f>K994*L994</f>
        <v>0</v>
      </c>
      <c r="N994" s="4">
        <v>20</v>
      </c>
      <c r="O994" s="4">
        <f>K994-M994+N994</f>
        <v>200</v>
      </c>
      <c r="P994" t="s">
        <v>43</v>
      </c>
      <c r="Q994" t="b">
        <v>1</v>
      </c>
      <c r="R994" t="s">
        <v>55</v>
      </c>
      <c r="S994" t="s">
        <v>68</v>
      </c>
      <c r="T994" t="s">
        <v>69</v>
      </c>
      <c r="U994" t="s">
        <v>70</v>
      </c>
      <c r="V994" t="s">
        <v>63</v>
      </c>
      <c r="W994" t="s">
        <v>2046</v>
      </c>
      <c r="X994" t="s">
        <v>72</v>
      </c>
      <c r="Y994">
        <v>9007199254741979</v>
      </c>
      <c r="Z994">
        <v>2</v>
      </c>
      <c r="AA994" t="s">
        <v>63</v>
      </c>
      <c r="AB994" t="b">
        <v>0</v>
      </c>
      <c r="AD994" s="3">
        <v>0.125</v>
      </c>
      <c r="AE994" s="2">
        <v>45908.5</v>
      </c>
      <c r="AF994" t="s">
        <v>60</v>
      </c>
    </row>
    <row r="995">
      <c r="A995" t="s">
        <v>2047</v>
      </c>
      <c r="B995" s="2">
        <v>45907.5</v>
      </c>
      <c r="C995" t="s">
        <v>37</v>
      </c>
      <c r="D995" t="s">
        <f>'客户档案'!B3</f>
        <v>38</v>
      </c>
      <c r="E995" t="s">
        <v>74</v>
      </c>
      <c r="F995" t="s">
        <v>75</v>
      </c>
      <c r="G995" t="s">
        <f>'商品目录'!B6</f>
        <v>76</v>
      </c>
      <c r="H995" t="s">
        <v>77</v>
      </c>
      <c r="I995">
        <v>6</v>
      </c>
      <c r="J995" s="4">
        <v>8</v>
      </c>
      <c r="K995" s="4">
        <f>I995*J995</f>
        <v>48</v>
      </c>
      <c r="L995" s="3">
        <v>0.5</v>
      </c>
      <c r="M995" s="4">
        <f>K995*L995</f>
        <v>24</v>
      </c>
      <c r="N995" s="4">
        <v>0</v>
      </c>
      <c r="O995" s="4">
        <f>K995-M995+N995</f>
        <v>24</v>
      </c>
      <c r="P995" t="s">
        <v>43</v>
      </c>
      <c r="Q995" t="b">
        <v>1</v>
      </c>
      <c r="R995" t="s">
        <v>55</v>
      </c>
      <c r="S995" t="s">
        <v>45</v>
      </c>
      <c r="T995" t="s">
        <v>46</v>
      </c>
      <c r="U995" t="s">
        <v>78</v>
      </c>
      <c r="V995" t="s">
        <v>38</v>
      </c>
      <c r="W995" t="s">
        <v>2048</v>
      </c>
      <c r="X995" t="s">
        <v>80</v>
      </c>
      <c r="Y995">
        <v>9007199254741980</v>
      </c>
      <c r="Z995">
        <v>0</v>
      </c>
      <c r="AA995" t="s">
        <v>38</v>
      </c>
      <c r="AB995" t="b">
        <v>1</v>
      </c>
      <c r="AD995" s="3">
        <v>0.125</v>
      </c>
      <c r="AE995" s="2">
        <v>45909.5</v>
      </c>
      <c r="AF995" t="s">
        <v>60</v>
      </c>
    </row>
    <row r="996">
      <c r="A996" t="s">
        <v>2049</v>
      </c>
      <c r="B996" s="2">
        <v>45908.5</v>
      </c>
      <c r="C996" t="s">
        <v>49</v>
      </c>
      <c r="D996" t="s">
        <f>'客户档案'!B4</f>
        <v>50</v>
      </c>
      <c r="E996" t="s">
        <v>39</v>
      </c>
      <c r="F996" t="s">
        <v>40</v>
      </c>
      <c r="G996" t="s">
        <f>'商品目录'!B3</f>
        <v>41</v>
      </c>
      <c r="H996" t="s">
        <v>42</v>
      </c>
      <c r="I996">
        <v>8</v>
      </c>
      <c r="J996" s="4">
        <v>99</v>
      </c>
      <c r="K996" s="4">
        <f>I996*J996</f>
        <v>792</v>
      </c>
      <c r="L996" s="3">
        <v>0</v>
      </c>
      <c r="M996" s="4">
        <f>K996*L996</f>
        <v>0</v>
      </c>
      <c r="N996" s="4">
        <v>10</v>
      </c>
      <c r="O996" s="4">
        <f>K996-M996+N996</f>
        <v>802</v>
      </c>
      <c r="P996" t="s">
        <v>43</v>
      </c>
      <c r="Q996" t="b">
        <v>0</v>
      </c>
      <c r="R996" t="s">
        <v>44</v>
      </c>
      <c r="S996" t="s">
        <v>56</v>
      </c>
      <c r="T996" t="s">
        <v>57</v>
      </c>
      <c r="U996" t="s">
        <v>39</v>
      </c>
      <c r="V996" t="s">
        <v>50</v>
      </c>
      <c r="W996" t="s">
        <v>2050</v>
      </c>
      <c r="X996" t="s">
        <v>0</v>
      </c>
      <c r="Y996">
        <v>9007199254741981</v>
      </c>
      <c r="Z996">
        <v>0</v>
      </c>
      <c r="AA996" t="s">
        <v>50</v>
      </c>
      <c r="AB996" t="b">
        <v>0</v>
      </c>
      <c r="AD996" s="3">
        <v>0.125</v>
      </c>
      <c r="AE996" s="2">
        <v>45910.5</v>
      </c>
      <c r="AF996" t="s">
        <v>60</v>
      </c>
    </row>
    <row r="997">
      <c r="A997" t="s">
        <v>2051</v>
      </c>
      <c r="B997" s="2">
        <v>45909.5</v>
      </c>
      <c r="C997" t="s">
        <v>62</v>
      </c>
      <c r="D997" t="s">
        <f>'客户档案'!B5</f>
        <v>63</v>
      </c>
      <c r="E997" t="s">
        <v>51</v>
      </c>
      <c r="F997" t="s">
        <v>52</v>
      </c>
      <c r="G997" t="s">
        <f>'商品目录'!B4</f>
        <v>53</v>
      </c>
      <c r="H997" t="s">
        <v>54</v>
      </c>
      <c r="I997">
        <v>10</v>
      </c>
      <c r="J997" s="4">
        <v>129</v>
      </c>
      <c r="K997" s="4">
        <f>I997*J997</f>
        <v>1290</v>
      </c>
      <c r="L997" s="3">
        <v>0.5</v>
      </c>
      <c r="M997" s="4">
        <f>K997*L997</f>
        <v>645</v>
      </c>
      <c r="N997" s="4">
        <v>20</v>
      </c>
      <c r="O997" s="4">
        <f>K997-M997+N997</f>
        <v>665</v>
      </c>
      <c r="P997" t="s">
        <v>43</v>
      </c>
      <c r="Q997" t="b">
        <v>1</v>
      </c>
      <c r="R997" t="s">
        <v>55</v>
      </c>
      <c r="S997" t="s">
        <v>68</v>
      </c>
      <c r="T997" t="s">
        <v>69</v>
      </c>
      <c r="U997" t="s">
        <v>51</v>
      </c>
      <c r="V997" t="s">
        <v>63</v>
      </c>
      <c r="W997" t="s">
        <v>2052</v>
      </c>
      <c r="X997" t="s">
        <v>59</v>
      </c>
      <c r="Y997">
        <v>9007199254741982</v>
      </c>
      <c r="Z997">
        <v>0</v>
      </c>
      <c r="AA997" t="s">
        <v>63</v>
      </c>
      <c r="AB997" t="b">
        <v>1</v>
      </c>
      <c r="AD997" s="3">
        <v>0.125</v>
      </c>
      <c r="AE997" s="2">
        <v>45911.5</v>
      </c>
      <c r="AF997" t="s">
        <v>60</v>
      </c>
    </row>
    <row r="998">
      <c r="A998" t="s">
        <v>2053</v>
      </c>
      <c r="B998" s="2">
        <v>45910.5</v>
      </c>
      <c r="C998" t="s">
        <v>37</v>
      </c>
      <c r="D998" t="s">
        <f>'客户档案'!B3</f>
        <v>38</v>
      </c>
      <c r="E998" t="s">
        <v>64</v>
      </c>
      <c r="F998" t="s">
        <v>65</v>
      </c>
      <c r="G998" t="s">
        <f>'商品目录'!B5</f>
        <v>66</v>
      </c>
      <c r="H998" t="s">
        <v>67</v>
      </c>
      <c r="I998">
        <v>2</v>
      </c>
      <c r="J998" s="4">
        <v>45</v>
      </c>
      <c r="K998" s="4">
        <f>I998*J998</f>
        <v>90</v>
      </c>
      <c r="L998" s="3">
        <v>0</v>
      </c>
      <c r="M998" s="4">
        <f>K998*L998</f>
        <v>0</v>
      </c>
      <c r="N998" s="4">
        <v>0</v>
      </c>
      <c r="O998" s="4">
        <f>K998-M998+N998</f>
        <v>90</v>
      </c>
      <c r="P998" t="s">
        <v>43</v>
      </c>
      <c r="Q998" t="b">
        <v>1</v>
      </c>
      <c r="R998" t="s">
        <v>55</v>
      </c>
      <c r="S998" t="s">
        <v>45</v>
      </c>
      <c r="T998" t="s">
        <v>46</v>
      </c>
      <c r="U998" t="s">
        <v>70</v>
      </c>
      <c r="V998" t="s">
        <v>38</v>
      </c>
      <c r="W998" t="s">
        <v>2054</v>
      </c>
      <c r="X998" t="s">
        <v>72</v>
      </c>
      <c r="Y998">
        <v>9007199254741983</v>
      </c>
      <c r="Z998">
        <v>0</v>
      </c>
      <c r="AA998" t="s">
        <v>38</v>
      </c>
      <c r="AB998" t="b">
        <v>0</v>
      </c>
      <c r="AD998" s="3">
        <v>0.125</v>
      </c>
      <c r="AE998" s="2">
        <v>45912.5</v>
      </c>
      <c r="AF998" t="s">
        <v>60</v>
      </c>
    </row>
    <row r="999">
      <c r="A999" t="s">
        <v>2055</v>
      </c>
      <c r="B999" s="2">
        <v>45911.5</v>
      </c>
      <c r="C999" t="s">
        <v>49</v>
      </c>
      <c r="D999" t="s">
        <f>'客户档案'!B4</f>
        <v>50</v>
      </c>
      <c r="E999" t="s">
        <v>74</v>
      </c>
      <c r="F999" t="s">
        <v>75</v>
      </c>
      <c r="G999" t="s">
        <f>'商品目录'!B6</f>
        <v>76</v>
      </c>
      <c r="H999" t="s">
        <v>77</v>
      </c>
      <c r="I999">
        <v>4</v>
      </c>
      <c r="J999" s="4">
        <v>8</v>
      </c>
      <c r="K999" s="4">
        <f>I999*J999</f>
        <v>32</v>
      </c>
      <c r="L999" s="3">
        <v>0.5</v>
      </c>
      <c r="M999" s="4">
        <f>K999*L999</f>
        <v>16</v>
      </c>
      <c r="N999" s="4">
        <v>10</v>
      </c>
      <c r="O999" s="4">
        <f>K999-M999+N999</f>
        <v>26</v>
      </c>
      <c r="P999" t="s">
        <v>43</v>
      </c>
      <c r="Q999" t="b">
        <v>1</v>
      </c>
      <c r="R999" t="s">
        <v>55</v>
      </c>
      <c r="S999" t="s">
        <v>56</v>
      </c>
      <c r="T999" t="s">
        <v>57</v>
      </c>
      <c r="U999" t="s">
        <v>78</v>
      </c>
      <c r="V999" t="s">
        <v>50</v>
      </c>
      <c r="W999" t="s">
        <v>2056</v>
      </c>
      <c r="X999" t="s">
        <v>80</v>
      </c>
      <c r="Y999">
        <v>9007199254741984</v>
      </c>
      <c r="Z999">
        <v>0</v>
      </c>
      <c r="AA999" t="s">
        <v>50</v>
      </c>
      <c r="AB999" t="b">
        <v>1</v>
      </c>
      <c r="AD999" s="3">
        <v>0.125</v>
      </c>
      <c r="AE999" s="2">
        <v>45913.5</v>
      </c>
      <c r="AF999" t="s">
        <v>60</v>
      </c>
    </row>
    <row r="1000">
      <c r="A1000" t="s">
        <v>2057</v>
      </c>
      <c r="B1000" s="2">
        <v>45912.5</v>
      </c>
      <c r="C1000" t="s">
        <v>62</v>
      </c>
      <c r="D1000" t="s">
        <f>'客户档案'!B5</f>
        <v>63</v>
      </c>
      <c r="E1000" t="s">
        <v>39</v>
      </c>
      <c r="F1000" t="s">
        <v>40</v>
      </c>
      <c r="G1000" t="s">
        <f>'商品目录'!B3</f>
        <v>41</v>
      </c>
      <c r="H1000" t="s">
        <v>42</v>
      </c>
      <c r="I1000">
        <v>6</v>
      </c>
      <c r="J1000" s="4">
        <v>99</v>
      </c>
      <c r="K1000" s="4">
        <f>I1000*J1000</f>
        <v>594</v>
      </c>
      <c r="L1000" s="3">
        <v>0</v>
      </c>
      <c r="M1000" s="4">
        <f>K1000*L1000</f>
        <v>0</v>
      </c>
      <c r="N1000" s="4">
        <v>20</v>
      </c>
      <c r="O1000" s="4">
        <f>K1000-M1000+N1000</f>
        <v>614</v>
      </c>
      <c r="P1000" t="s">
        <v>43</v>
      </c>
      <c r="Q1000" t="b">
        <v>0</v>
      </c>
      <c r="R1000" t="s">
        <v>44</v>
      </c>
      <c r="S1000" t="s">
        <v>68</v>
      </c>
      <c r="T1000" t="s">
        <v>69</v>
      </c>
      <c r="U1000" t="s">
        <v>39</v>
      </c>
      <c r="V1000" t="s">
        <v>63</v>
      </c>
      <c r="W1000" t="s">
        <v>2058</v>
      </c>
      <c r="X1000" t="s">
        <v>0</v>
      </c>
      <c r="Y1000">
        <v>9007199254741985</v>
      </c>
      <c r="Z1000">
        <v>0</v>
      </c>
      <c r="AA1000" t="s">
        <v>63</v>
      </c>
      <c r="AB1000" t="b">
        <v>0</v>
      </c>
      <c r="AD1000" s="3">
        <v>0.125</v>
      </c>
      <c r="AE1000" s="2">
        <v>45914.5</v>
      </c>
      <c r="AF1000" t="s">
        <v>60</v>
      </c>
    </row>
    <row r="1001">
      <c r="A1001" t="s">
        <v>2059</v>
      </c>
      <c r="B1001" s="2">
        <v>45913.5</v>
      </c>
      <c r="C1001" t="s">
        <v>37</v>
      </c>
      <c r="D1001" t="s">
        <f>'客户档案'!B3</f>
        <v>38</v>
      </c>
      <c r="E1001" t="s">
        <v>51</v>
      </c>
      <c r="F1001" t="s">
        <v>52</v>
      </c>
      <c r="G1001" t="s">
        <f>'商品目录'!B4</f>
        <v>53</v>
      </c>
      <c r="H1001" t="s">
        <v>54</v>
      </c>
      <c r="I1001">
        <v>8</v>
      </c>
      <c r="J1001" s="4">
        <v>129</v>
      </c>
      <c r="K1001" s="4">
        <f>I1001*J1001</f>
        <v>1032</v>
      </c>
      <c r="L1001" s="3">
        <v>0.5</v>
      </c>
      <c r="M1001" s="4">
        <f>K1001*L1001</f>
        <v>516</v>
      </c>
      <c r="N1001" s="4">
        <v>0</v>
      </c>
      <c r="O1001" s="4">
        <f>K1001-M1001+N1001</f>
        <v>516</v>
      </c>
      <c r="P1001" t="s">
        <v>43</v>
      </c>
      <c r="Q1001" t="b">
        <v>1</v>
      </c>
      <c r="R1001" t="s">
        <v>55</v>
      </c>
      <c r="S1001" t="s">
        <v>45</v>
      </c>
      <c r="T1001" t="s">
        <v>46</v>
      </c>
      <c r="U1001" t="s">
        <v>51</v>
      </c>
      <c r="V1001" t="s">
        <v>38</v>
      </c>
      <c r="W1001" t="s">
        <v>2060</v>
      </c>
      <c r="X1001" t="s">
        <v>59</v>
      </c>
      <c r="Y1001">
        <v>9007199254741986</v>
      </c>
      <c r="Z1001">
        <v>0</v>
      </c>
      <c r="AA1001" t="s">
        <v>38</v>
      </c>
      <c r="AB1001" t="b">
        <v>1</v>
      </c>
      <c r="AD1001" s="3">
        <v>0.125</v>
      </c>
      <c r="AE1001" s="2">
        <v>45915.5</v>
      </c>
      <c r="AF1001" t="s">
        <v>60</v>
      </c>
    </row>
    <row r="1002">
      <c r="A1002" t="s">
        <v>2061</v>
      </c>
      <c r="B1002" s="2">
        <v>45914.5</v>
      </c>
      <c r="C1002" t="s">
        <v>49</v>
      </c>
      <c r="D1002" t="s">
        <f>'客户档案'!B4</f>
        <v>50</v>
      </c>
      <c r="E1002" t="s">
        <v>64</v>
      </c>
      <c r="F1002" t="s">
        <v>65</v>
      </c>
      <c r="G1002" t="s">
        <f>'商品目录'!B5</f>
        <v>66</v>
      </c>
      <c r="H1002" t="s">
        <v>67</v>
      </c>
      <c r="I1002">
        <v>10</v>
      </c>
      <c r="J1002" s="4">
        <v>45</v>
      </c>
      <c r="K1002" s="4">
        <f>I1002*J1002</f>
        <v>450</v>
      </c>
      <c r="L1002" s="3">
        <v>0</v>
      </c>
      <c r="M1002" s="4">
        <f>K1002*L1002</f>
        <v>0</v>
      </c>
      <c r="N1002" s="4">
        <v>10</v>
      </c>
      <c r="O1002" s="4">
        <f>K1002-M1002+N1002</f>
        <v>460</v>
      </c>
      <c r="P1002" t="s">
        <v>43</v>
      </c>
      <c r="Q1002" t="b">
        <v>1</v>
      </c>
      <c r="R1002" t="s">
        <v>55</v>
      </c>
      <c r="S1002" t="s">
        <v>56</v>
      </c>
      <c r="T1002" t="s">
        <v>57</v>
      </c>
      <c r="U1002" t="s">
        <v>70</v>
      </c>
      <c r="V1002" t="s">
        <v>50</v>
      </c>
      <c r="W1002" t="s">
        <v>2062</v>
      </c>
      <c r="X1002" t="s">
        <v>72</v>
      </c>
      <c r="Y1002">
        <v>9007199254741987</v>
      </c>
      <c r="Z1002">
        <v>0</v>
      </c>
      <c r="AA1002" t="s">
        <v>50</v>
      </c>
      <c r="AB1002" t="b">
        <v>0</v>
      </c>
      <c r="AD1002" s="3">
        <v>0.125</v>
      </c>
      <c r="AE1002" s="2">
        <v>45916.5</v>
      </c>
      <c r="AF1002" t="s">
        <v>60</v>
      </c>
    </row>
    <row r="1003">
      <c r="A1003" t="s">
        <v>2063</v>
      </c>
      <c r="B1003" s="2">
        <v>45915.5</v>
      </c>
      <c r="C1003" t="s">
        <v>62</v>
      </c>
      <c r="D1003" t="s">
        <f>'客户档案'!B5</f>
        <v>63</v>
      </c>
      <c r="E1003" t="s">
        <v>74</v>
      </c>
      <c r="F1003" t="s">
        <v>75</v>
      </c>
      <c r="G1003" t="s">
        <f>'商品目录'!B6</f>
        <v>76</v>
      </c>
      <c r="H1003" t="s">
        <v>77</v>
      </c>
      <c r="I1003">
        <v>2</v>
      </c>
      <c r="J1003" s="4">
        <v>8</v>
      </c>
      <c r="K1003" s="4">
        <f>I1003*J1003</f>
        <v>16</v>
      </c>
      <c r="L1003" s="3">
        <v>0.5</v>
      </c>
      <c r="M1003" s="4">
        <f>K1003*L1003</f>
        <v>8</v>
      </c>
      <c r="N1003" s="4">
        <v>20</v>
      </c>
      <c r="O1003" s="4">
        <f>K1003-M1003+N1003</f>
        <v>28</v>
      </c>
      <c r="P1003" t="s">
        <v>43</v>
      </c>
      <c r="Q1003" t="b">
        <v>1</v>
      </c>
      <c r="R1003" t="s">
        <v>55</v>
      </c>
      <c r="S1003" t="s">
        <v>68</v>
      </c>
      <c r="T1003" t="s">
        <v>69</v>
      </c>
      <c r="U1003" t="s">
        <v>78</v>
      </c>
      <c r="V1003" t="s">
        <v>63</v>
      </c>
      <c r="W1003" t="s">
        <v>2064</v>
      </c>
      <c r="X1003" t="s">
        <v>80</v>
      </c>
      <c r="Y1003">
        <v>9007199254741988</v>
      </c>
      <c r="Z1003">
        <v>0</v>
      </c>
      <c r="AA1003" t="s">
        <v>63</v>
      </c>
      <c r="AB1003" t="b">
        <v>1</v>
      </c>
      <c r="AD1003" s="3">
        <v>0.125</v>
      </c>
      <c r="AE1003" s="2">
        <v>45917.5</v>
      </c>
      <c r="AF1003" t="s">
        <v>60</v>
      </c>
    </row>
    <row r="1004">
      <c r="A1004" t="s">
        <v>2065</v>
      </c>
      <c r="B1004" s="2">
        <v>45916.5</v>
      </c>
      <c r="C1004" t="s">
        <v>37</v>
      </c>
      <c r="D1004" t="s">
        <f>'客户档案'!B3</f>
        <v>38</v>
      </c>
      <c r="E1004" t="s">
        <v>39</v>
      </c>
      <c r="F1004" t="s">
        <v>40</v>
      </c>
      <c r="G1004" t="s">
        <f>'商品目录'!B3</f>
        <v>41</v>
      </c>
      <c r="H1004" t="s">
        <v>42</v>
      </c>
      <c r="I1004">
        <v>4</v>
      </c>
      <c r="J1004" s="4">
        <v>99</v>
      </c>
      <c r="K1004" s="4">
        <f>I1004*J1004</f>
        <v>396</v>
      </c>
      <c r="L1004" s="3">
        <v>0</v>
      </c>
      <c r="M1004" s="4">
        <f>K1004*L1004</f>
        <v>0</v>
      </c>
      <c r="N1004" s="4">
        <v>0</v>
      </c>
      <c r="O1004" s="4">
        <f>K1004-M1004+N1004</f>
        <v>396</v>
      </c>
      <c r="P1004" t="s">
        <v>43</v>
      </c>
      <c r="Q1004" t="b">
        <v>0</v>
      </c>
      <c r="R1004" t="s">
        <v>44</v>
      </c>
      <c r="S1004" t="s">
        <v>45</v>
      </c>
      <c r="T1004" t="s">
        <v>46</v>
      </c>
      <c r="U1004" t="s">
        <v>39</v>
      </c>
      <c r="V1004" t="s">
        <v>38</v>
      </c>
      <c r="W1004" t="s">
        <v>2066</v>
      </c>
      <c r="X1004" t="s">
        <v>0</v>
      </c>
      <c r="Y1004">
        <v>9007199254741989</v>
      </c>
      <c r="Z1004">
        <v>0</v>
      </c>
      <c r="AA1004" t="s">
        <v>38</v>
      </c>
      <c r="AB1004" t="b">
        <v>0</v>
      </c>
      <c r="AD1004" s="3">
        <v>0.125</v>
      </c>
      <c r="AE1004" s="2">
        <v>45918.5</v>
      </c>
      <c r="AF1004" t="s">
        <v>60</v>
      </c>
    </row>
    <row r="1005">
      <c r="A1005" t="s">
        <v>2067</v>
      </c>
      <c r="B1005" s="2">
        <v>45917.5</v>
      </c>
      <c r="C1005" t="s">
        <v>49</v>
      </c>
      <c r="D1005" t="s">
        <f>'客户档案'!B4</f>
        <v>50</v>
      </c>
      <c r="E1005" t="s">
        <v>51</v>
      </c>
      <c r="F1005" t="s">
        <v>52</v>
      </c>
      <c r="G1005" t="s">
        <f>'商品目录'!B4</f>
        <v>53</v>
      </c>
      <c r="H1005" t="s">
        <v>54</v>
      </c>
      <c r="I1005">
        <v>6</v>
      </c>
      <c r="J1005" s="4">
        <v>129</v>
      </c>
      <c r="K1005" s="4">
        <f>I1005*J1005</f>
        <v>774</v>
      </c>
      <c r="L1005" s="3">
        <v>0.5</v>
      </c>
      <c r="M1005" s="4">
        <f>K1005*L1005</f>
        <v>387</v>
      </c>
      <c r="N1005" s="4">
        <v>10</v>
      </c>
      <c r="O1005" s="4">
        <f>K1005-M1005+N1005</f>
        <v>397</v>
      </c>
      <c r="P1005" t="s">
        <v>43</v>
      </c>
      <c r="Q1005" t="b">
        <v>1</v>
      </c>
      <c r="R1005" t="s">
        <v>55</v>
      </c>
      <c r="S1005" t="s">
        <v>56</v>
      </c>
      <c r="T1005" t="s">
        <v>57</v>
      </c>
      <c r="U1005" t="s">
        <v>51</v>
      </c>
      <c r="V1005" t="s">
        <v>50</v>
      </c>
      <c r="W1005" t="s">
        <v>2068</v>
      </c>
      <c r="X1005" t="s">
        <v>59</v>
      </c>
      <c r="Y1005">
        <v>9007199254741990</v>
      </c>
      <c r="Z1005">
        <v>0</v>
      </c>
      <c r="AA1005" t="s">
        <v>50</v>
      </c>
      <c r="AB1005" t="b">
        <v>1</v>
      </c>
      <c r="AD1005" s="3">
        <v>0.125</v>
      </c>
      <c r="AE1005" s="2">
        <v>45919.5</v>
      </c>
      <c r="AF1005" t="s">
        <v>60</v>
      </c>
    </row>
    <row r="1006">
      <c r="A1006" t="s">
        <v>2069</v>
      </c>
      <c r="B1006" s="2">
        <v>45918.5</v>
      </c>
      <c r="C1006" t="s">
        <v>62</v>
      </c>
      <c r="D1006" t="s">
        <f>'客户档案'!B5</f>
        <v>63</v>
      </c>
      <c r="E1006" t="s">
        <v>64</v>
      </c>
      <c r="F1006" t="s">
        <v>65</v>
      </c>
      <c r="G1006" t="s">
        <f>'商品目录'!B5</f>
        <v>66</v>
      </c>
      <c r="H1006" t="s">
        <v>67</v>
      </c>
      <c r="I1006">
        <v>8</v>
      </c>
      <c r="J1006" s="4">
        <v>45</v>
      </c>
      <c r="K1006" s="4">
        <f>I1006*J1006</f>
        <v>360</v>
      </c>
      <c r="L1006" s="3">
        <v>0</v>
      </c>
      <c r="M1006" s="4">
        <f>K1006*L1006</f>
        <v>0</v>
      </c>
      <c r="N1006" s="4">
        <v>20</v>
      </c>
      <c r="O1006" s="4">
        <f>K1006-M1006+N1006</f>
        <v>380</v>
      </c>
      <c r="P1006" t="s">
        <v>43</v>
      </c>
      <c r="Q1006" t="b">
        <v>1</v>
      </c>
      <c r="R1006" t="s">
        <v>55</v>
      </c>
      <c r="S1006" t="s">
        <v>68</v>
      </c>
      <c r="T1006" t="s">
        <v>69</v>
      </c>
      <c r="U1006" t="s">
        <v>70</v>
      </c>
      <c r="V1006" t="s">
        <v>63</v>
      </c>
      <c r="W1006" t="s">
        <v>2070</v>
      </c>
      <c r="X1006" t="s">
        <v>72</v>
      </c>
      <c r="Y1006">
        <v>9007199254741991</v>
      </c>
      <c r="Z1006">
        <v>0</v>
      </c>
      <c r="AA1006" t="s">
        <v>63</v>
      </c>
      <c r="AB1006" t="b">
        <v>0</v>
      </c>
      <c r="AD1006" s="3">
        <v>0.125</v>
      </c>
      <c r="AE1006" s="2">
        <v>45920.5</v>
      </c>
      <c r="AF1006" t="s">
        <v>60</v>
      </c>
    </row>
    <row r="1007">
      <c r="A1007" t="s">
        <v>2071</v>
      </c>
      <c r="B1007" s="2">
        <v>45919.5</v>
      </c>
      <c r="C1007" t="s">
        <v>37</v>
      </c>
      <c r="D1007" t="s">
        <f>'客户档案'!B3</f>
        <v>38</v>
      </c>
      <c r="E1007" t="s">
        <v>74</v>
      </c>
      <c r="F1007" t="s">
        <v>75</v>
      </c>
      <c r="G1007" t="s">
        <f>'商品目录'!B6</f>
        <v>76</v>
      </c>
      <c r="H1007" t="s">
        <v>77</v>
      </c>
      <c r="I1007">
        <v>10</v>
      </c>
      <c r="J1007" s="4">
        <v>8</v>
      </c>
      <c r="K1007" s="4">
        <f>I1007*J1007</f>
        <v>80</v>
      </c>
      <c r="L1007" s="3">
        <v>0.5</v>
      </c>
      <c r="M1007" s="4">
        <f>K1007*L1007</f>
        <v>40</v>
      </c>
      <c r="N1007" s="4">
        <v>0</v>
      </c>
      <c r="O1007" s="4">
        <f>K1007-M1007+N1007</f>
        <v>40</v>
      </c>
      <c r="P1007" t="s">
        <v>43</v>
      </c>
      <c r="Q1007" t="b">
        <v>1</v>
      </c>
      <c r="R1007" t="s">
        <v>55</v>
      </c>
      <c r="S1007" t="s">
        <v>45</v>
      </c>
      <c r="T1007" t="s">
        <v>46</v>
      </c>
      <c r="U1007" t="s">
        <v>78</v>
      </c>
      <c r="V1007" t="s">
        <v>38</v>
      </c>
      <c r="W1007" t="s">
        <v>2072</v>
      </c>
      <c r="X1007" t="s">
        <v>80</v>
      </c>
      <c r="Y1007">
        <v>9007199254741992</v>
      </c>
      <c r="Z1007">
        <v>0</v>
      </c>
      <c r="AA1007" t="s">
        <v>38</v>
      </c>
      <c r="AB1007" t="b">
        <v>1</v>
      </c>
      <c r="AD1007" s="3">
        <v>0.125</v>
      </c>
      <c r="AE1007" s="2">
        <v>45921.5</v>
      </c>
      <c r="AF1007" t="s">
        <v>60</v>
      </c>
    </row>
    <row r="1008">
      <c r="A1008" t="s">
        <v>2073</v>
      </c>
      <c r="K1008" s="4">
        <f>SUM(K4:K1007)</f>
        <v>421500</v>
      </c>
      <c r="M1008" s="4">
        <f>SUM(M4:M1007)</f>
        <v>102750</v>
      </c>
      <c r="N1008" s="4">
        <f>SUM(N4:N1007)</f>
        <v>9990</v>
      </c>
      <c r="O1008" s="4">
        <f>SUM(O4:O1007)</f>
        <v>328740</v>
      </c>
    </row>
  </sheetData>
  <mergeCells count="2">
    <mergeCell ref="A1:A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cols>
    <col min="1" max="1" width="28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 ht="30" customHeight="1">
      <c r="A1" t="s" s="1">
        <v>2074</v>
      </c>
      <c r="B1" s="1"/>
      <c r="C1" s="1"/>
      <c r="D1" s="1"/>
      <c r="E1" s="1"/>
      <c r="F1" s="1"/>
      <c r="G1" s="1"/>
    </row>
    <row r="2">
      <c r="A2" t="s" s="1">
        <v>9</v>
      </c>
      <c r="B2" t="s" s="1">
        <v>2075</v>
      </c>
      <c r="C2" t="s" s="1">
        <v>11</v>
      </c>
      <c r="D2" t="s" s="1">
        <v>13</v>
      </c>
      <c r="E2" t="s" s="1">
        <v>2076</v>
      </c>
      <c r="F2" t="s" s="1">
        <v>2077</v>
      </c>
      <c r="G2" t="s" s="1">
        <v>2078</v>
      </c>
    </row>
    <row r="3">
      <c r="A3" t="s">
        <v>40</v>
      </c>
      <c r="B3" t="s">
        <v>41</v>
      </c>
      <c r="C3" t="s">
        <v>42</v>
      </c>
      <c r="D3">
        <v>99</v>
      </c>
      <c r="E3">
        <v>1000</v>
      </c>
      <c r="F3" t="b">
        <v>1</v>
      </c>
      <c r="G3" t="s">
        <v>2079</v>
      </c>
    </row>
    <row r="4">
      <c r="A4" t="s">
        <v>52</v>
      </c>
      <c r="B4" t="s">
        <v>53</v>
      </c>
      <c r="C4" t="s">
        <v>54</v>
      </c>
      <c r="D4">
        <v>129</v>
      </c>
      <c r="E4">
        <v>800</v>
      </c>
      <c r="F4" t="b">
        <v>1</v>
      </c>
      <c r="G4" t="s">
        <v>2079</v>
      </c>
    </row>
    <row r="5">
      <c r="A5" t="s">
        <v>65</v>
      </c>
      <c r="B5" t="s">
        <v>66</v>
      </c>
      <c r="C5" t="s">
        <v>67</v>
      </c>
      <c r="D5">
        <v>45</v>
      </c>
      <c r="E5">
        <v>600</v>
      </c>
      <c r="F5" t="b">
        <v>1</v>
      </c>
      <c r="G5" t="s">
        <v>2079</v>
      </c>
    </row>
    <row r="6">
      <c r="A6" t="s">
        <v>75</v>
      </c>
      <c r="B6" t="s">
        <v>76</v>
      </c>
      <c r="C6" t="s">
        <v>77</v>
      </c>
      <c r="D6">
        <v>8</v>
      </c>
      <c r="E6">
        <v>400</v>
      </c>
      <c r="F6" t="b">
        <v>0</v>
      </c>
      <c r="G6" t="s">
        <v>2079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cols>
    <col min="1" max="1" width="28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</cols>
  <sheetData>
    <row r="1" ht="30" customHeight="1">
      <c r="A1" t="s" s="1">
        <v>2080</v>
      </c>
      <c r="B1" s="1"/>
      <c r="C1" s="1"/>
      <c r="D1" s="1"/>
      <c r="E1" s="1"/>
      <c r="F1" s="1"/>
      <c r="G1" s="1"/>
      <c r="H1" s="1"/>
    </row>
    <row r="2">
      <c r="A2" t="s" s="1">
        <v>6</v>
      </c>
      <c r="B2" t="s" s="1">
        <v>2075</v>
      </c>
      <c r="C2" t="s" s="1">
        <v>26</v>
      </c>
      <c r="D2" t="s" s="1">
        <v>2081</v>
      </c>
      <c r="E2" t="s" s="1">
        <v>2082</v>
      </c>
      <c r="F2" t="s" s="1">
        <v>2083</v>
      </c>
      <c r="G2" t="s" s="1">
        <v>2084</v>
      </c>
      <c r="H2" t="s" s="1">
        <v>27</v>
      </c>
    </row>
    <row r="3">
      <c r="A3" t="s">
        <v>37</v>
      </c>
      <c r="B3" t="s">
        <v>38</v>
      </c>
      <c r="C3" t="s">
        <v>2085</v>
      </c>
      <c r="D3" t="s">
        <v>39</v>
      </c>
      <c r="E3" t="s">
        <v>2086</v>
      </c>
      <c r="F3">
        <v>45000.5</v>
      </c>
      <c r="G3" t="b">
        <v>1</v>
      </c>
      <c r="H3" t="s">
        <v>2087</v>
      </c>
    </row>
    <row r="4">
      <c r="A4" t="s">
        <v>49</v>
      </c>
      <c r="B4" t="s">
        <v>50</v>
      </c>
      <c r="C4" t="s">
        <v>2085</v>
      </c>
      <c r="D4" t="s">
        <v>51</v>
      </c>
      <c r="E4" t="s">
        <v>2088</v>
      </c>
      <c r="F4">
        <v>45001.5</v>
      </c>
      <c r="G4" t="b">
        <v>1</v>
      </c>
      <c r="H4" t="s">
        <v>2087</v>
      </c>
    </row>
    <row r="5">
      <c r="A5" t="s">
        <v>62</v>
      </c>
      <c r="B5" t="s">
        <v>63</v>
      </c>
      <c r="C5" t="s">
        <v>2085</v>
      </c>
      <c r="D5" t="s">
        <v>64</v>
      </c>
      <c r="E5" t="s">
        <v>2088</v>
      </c>
      <c r="F5">
        <v>45002.5</v>
      </c>
      <c r="G5" t="b">
        <v>1</v>
      </c>
      <c r="H5" t="s">
        <v>2087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cols>
    <col min="1" max="1" width="28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</cols>
  <sheetData>
    <row r="1" ht="30" customHeight="1">
      <c r="A1" t="s" s="1">
        <v>2089</v>
      </c>
      <c r="B1" s="1"/>
      <c r="C1" s="1"/>
      <c r="D1" s="1"/>
      <c r="E1" s="1"/>
      <c r="F1" s="1"/>
    </row>
    <row r="2">
      <c r="A2" t="s" s="1">
        <v>2090</v>
      </c>
      <c r="B2" t="s" s="1">
        <v>2091</v>
      </c>
      <c r="C2" t="s" s="1">
        <v>2092</v>
      </c>
      <c r="D2" s="1"/>
      <c r="E2" s="1"/>
      <c r="F2" t="s" s="1">
        <v>27</v>
      </c>
    </row>
    <row r="3">
      <c r="A3" t="s">
        <v>2093</v>
      </c>
      <c r="B3">
        <f>COUNTA('订单明细'!A4:A1007)</f>
        <v>1000</v>
      </c>
      <c r="C3" t="s">
        <v>2094</v>
      </c>
    </row>
    <row r="4">
      <c r="A4" t="s">
        <v>14</v>
      </c>
      <c r="B4">
        <f>SUM('订单明细'!K4:K1007)</f>
        <v>421500</v>
      </c>
      <c r="C4" t="s">
        <v>2095</v>
      </c>
    </row>
    <row r="5">
      <c r="A5" t="s">
        <v>16</v>
      </c>
      <c r="B5">
        <f>SUM('订单明细'!M4:M1007)</f>
        <v>102750</v>
      </c>
    </row>
    <row r="6">
      <c r="A6" t="s">
        <v>17</v>
      </c>
      <c r="B6">
        <f>SUM('订单明细'!N4:N1007)</f>
        <v>9990</v>
      </c>
    </row>
    <row r="7">
      <c r="A7" t="s">
        <v>18</v>
      </c>
      <c r="B7">
        <f>SUM('订单明细'!O4:O1007)</f>
        <v>328740</v>
      </c>
    </row>
    <row r="8">
      <c r="A8" t="s">
        <v>2096</v>
      </c>
      <c r="B8">
        <f>COUNTIF('订单明细'!Q4:Q1007,TRUE)</f>
        <v>750</v>
      </c>
    </row>
    <row r="9">
      <c r="A9" t="s">
        <v>2097</v>
      </c>
      <c r="B9">
        <f>SUMIF('订单明细'!Q4:Q1007,FALSE,'订单明细'!O4:O1007)</f>
        <v>150990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cols>
    <col min="1" max="1" width="28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</cols>
  <sheetData>
    <row r="1" ht="30" customHeight="1">
      <c r="A1" t="s" s="1">
        <v>2098</v>
      </c>
      <c r="B1" s="1"/>
      <c r="C1" s="1"/>
      <c r="D1" s="1"/>
      <c r="E1" s="1"/>
      <c r="F1" s="1"/>
      <c r="G1" s="1"/>
      <c r="H1" s="1"/>
    </row>
    <row r="2">
      <c r="A2" t="s" s="1">
        <v>2099</v>
      </c>
      <c r="B2" t="s" s="1">
        <v>2100</v>
      </c>
      <c r="C2" t="s" s="1">
        <v>2101</v>
      </c>
      <c r="D2" t="s" s="1">
        <v>2102</v>
      </c>
      <c r="E2" t="s" s="1">
        <v>2103</v>
      </c>
      <c r="F2" t="s" s="1">
        <v>2104</v>
      </c>
      <c r="G2" t="s" s="1">
        <v>2105</v>
      </c>
      <c r="H2" t="s" s="1">
        <v>27</v>
      </c>
    </row>
    <row r="3">
      <c r="A3" t="s">
        <v>2106</v>
      </c>
      <c r="B3">
        <v>-100</v>
      </c>
      <c r="C3">
        <v>-0.125</v>
      </c>
      <c r="D3" t="b">
        <v>0</v>
      </c>
      <c r="E3" t="s">
        <v>2107</v>
      </c>
    </row>
    <row r="4">
      <c r="A4" t="s">
        <v>2108</v>
      </c>
      <c r="B4">
        <v>0</v>
      </c>
      <c r="D4" t="b">
        <v>1</v>
      </c>
      <c r="E4" t="s">
        <v>2109</v>
      </c>
      <c r="F4" t="e">
        <v>#DIV/0!</v>
      </c>
    </row>
    <row r="5">
      <c r="A5" t="s">
        <v>2110</v>
      </c>
      <c r="F5" t="e">
        <v>#N/A</v>
      </c>
      <c r="H5" t="s">
        <v>2111</v>
      </c>
    </row>
    <row r="6">
      <c r="A6" t="s">
        <v>2112</v>
      </c>
      <c r="F6" t="e">
        <v>#VALUE!</v>
      </c>
      <c r="H6" t="s">
        <v>2113</v>
      </c>
    </row>
    <row r="7">
      <c r="A7" t="s">
        <v>2114</v>
      </c>
      <c r="G7">
        <v>45900.5</v>
      </c>
      <c r="H7" t="s">
        <v>2115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订单明细</vt:lpstr>
      <vt:lpstr>商品目录</vt:lpstr>
      <vt:lpstr>客户档案</vt:lpstr>
      <vt:lpstr>月度汇总</vt:lpstr>
      <vt:lpstr>说明与异常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